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tia-my.sharepoint.com/personal/fnajmy_ntia_gov/Documents/Documents/MSAMExcelAdd-In/"/>
    </mc:Choice>
  </mc:AlternateContent>
  <xr:revisionPtr revIDLastSave="114" documentId="8_{AAB07B3B-41F7-4507-9E6C-7FA57B4F8D04}" xr6:coauthVersionLast="47" xr6:coauthVersionMax="47" xr10:uidLastSave="{AFFF19C0-096B-4DAF-A249-38CDAC0F5016}"/>
  <bookViews>
    <workbookView xWindow="-120" yWindow="-120" windowWidth="29040" windowHeight="15720" activeTab="6" xr2:uid="{00000000-000D-0000-FFFF-FFFF00000000}"/>
  </bookViews>
  <sheets>
    <sheet name="Propagation" sheetId="1" r:id="rId1"/>
    <sheet name="LMS" sheetId="7" r:id="rId2"/>
    <sheet name="MSAM Example" sheetId="5" r:id="rId3"/>
    <sheet name="Antenna" sheetId="4" r:id="rId4"/>
    <sheet name="Conversion Functions" sheetId="2" r:id="rId5"/>
    <sheet name="Geographic" sheetId="3" r:id="rId6"/>
    <sheet name="Intermod" sheetId="6" r:id="rId7"/>
  </sheets>
  <definedNames>
    <definedName name="TerDirectory">Propagation!$Z$8</definedName>
    <definedName name="TerHandler">Propagation!$Z$7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 a="1"/>
  <c r="H11" i="7" s="1"/>
  <c r="H10" i="7" a="1"/>
  <c r="H10" i="7" s="1"/>
  <c r="H9" i="7" a="1"/>
  <c r="H9" i="7" s="1"/>
  <c r="H6" i="7" a="1"/>
  <c r="H6" i="7" s="1"/>
  <c r="H5" i="7" a="1"/>
  <c r="H5" i="7" s="1"/>
  <c r="H4" i="7" a="1"/>
  <c r="H4" i="7" s="1"/>
  <c r="L28" i="5"/>
  <c r="W3" i="1"/>
  <c r="K15" i="3"/>
  <c r="F15" i="3"/>
  <c r="B6" i="6"/>
  <c r="B8" i="6"/>
  <c r="L12" i="3"/>
  <c r="F13" i="3"/>
  <c r="K14" i="3"/>
  <c r="L13" i="3"/>
  <c r="B7" i="6"/>
  <c r="K13" i="3"/>
  <c r="L16" i="3"/>
  <c r="F14" i="3"/>
  <c r="L14" i="3"/>
  <c r="K12" i="3"/>
  <c r="F12" i="3"/>
  <c r="C4" i="5"/>
  <c r="B4" i="5"/>
  <c r="E3" i="5"/>
  <c r="D2" i="2" a="1"/>
  <c r="G3" i="4"/>
  <c r="P29" i="5"/>
  <c r="F3" i="5"/>
  <c r="B23" i="1"/>
  <c r="L15" i="3"/>
  <c r="J15" i="3"/>
  <c r="E13" i="3"/>
  <c r="X6" i="1"/>
  <c r="Z6" i="1"/>
  <c r="X3" i="1"/>
  <c r="Z4" i="1"/>
  <c r="X4" i="1"/>
  <c r="E14" i="3"/>
  <c r="Z5" i="1"/>
  <c r="X5" i="1"/>
  <c r="J13" i="3"/>
  <c r="Z3" i="1"/>
  <c r="E12" i="3"/>
  <c r="J12" i="3"/>
  <c r="E15" i="3"/>
  <c r="J14" i="3"/>
  <c r="D2" i="2" l="1"/>
  <c r="M33" i="5"/>
  <c r="M28" i="5"/>
  <c r="G17" i="4"/>
  <c r="E15" i="4"/>
  <c r="G10" i="4"/>
  <c r="F5" i="4"/>
  <c r="E10" i="4"/>
  <c r="E5" i="4"/>
  <c r="E6" i="4"/>
  <c r="G19" i="4"/>
  <c r="E13" i="4"/>
  <c r="T5" i="1"/>
  <c r="E22" i="4"/>
  <c r="F7" i="4"/>
  <c r="G6" i="4"/>
  <c r="F23" i="4"/>
  <c r="E14" i="4"/>
  <c r="V14" i="1"/>
  <c r="G13" i="4"/>
  <c r="F21" i="4"/>
  <c r="F13" i="4"/>
  <c r="F17" i="4"/>
  <c r="E7" i="4"/>
  <c r="F4" i="4"/>
  <c r="G20" i="4"/>
  <c r="F10" i="4"/>
  <c r="W5" i="1"/>
  <c r="E12" i="4"/>
  <c r="E18" i="4"/>
  <c r="E4" i="4"/>
  <c r="G14" i="4"/>
  <c r="F15" i="4"/>
  <c r="T4" i="1"/>
  <c r="U5" i="1"/>
  <c r="E3" i="4"/>
  <c r="T14" i="1"/>
  <c r="F19" i="4"/>
  <c r="G11" i="4"/>
  <c r="E23" i="4"/>
  <c r="G4" i="4"/>
  <c r="S14" i="1"/>
  <c r="G8" i="4"/>
  <c r="F6" i="4"/>
  <c r="F12" i="4"/>
  <c r="F22" i="4"/>
  <c r="K14" i="1"/>
  <c r="F11" i="4"/>
  <c r="F16" i="4"/>
  <c r="G12" i="4"/>
  <c r="E16" i="4"/>
  <c r="F9" i="4"/>
  <c r="G22" i="4"/>
  <c r="G5" i="4"/>
  <c r="G23" i="4"/>
  <c r="E20" i="4"/>
  <c r="G18" i="4"/>
  <c r="G21" i="4"/>
  <c r="F20" i="4"/>
  <c r="T3" i="1"/>
  <c r="R14" i="1"/>
  <c r="W6" i="1"/>
  <c r="F14" i="4"/>
  <c r="E9" i="4"/>
  <c r="T6" i="1"/>
  <c r="U6" i="1" s="1"/>
  <c r="E8" i="4"/>
  <c r="W4" i="1"/>
  <c r="E21" i="4"/>
  <c r="E17" i="4"/>
  <c r="E11" i="4"/>
  <c r="G9" i="4"/>
  <c r="G7" i="4"/>
  <c r="E19" i="4"/>
  <c r="G15" i="4"/>
  <c r="U14" i="1"/>
  <c r="G16" i="4"/>
  <c r="Y5" i="1"/>
  <c r="F8" i="4"/>
  <c r="F18" i="4"/>
  <c r="W14" i="1"/>
  <c r="Y6" i="1"/>
  <c r="AB5" i="1"/>
  <c r="AA5" i="1"/>
  <c r="AB6" i="1"/>
  <c r="AA6" i="1"/>
  <c r="Y4" i="1"/>
  <c r="AB4" i="1"/>
  <c r="AA4" i="1"/>
  <c r="E4" i="5"/>
  <c r="F4" i="5"/>
  <c r="Q4" i="5"/>
  <c r="F3" i="4"/>
  <c r="E8" i="5"/>
  <c r="B3" i="5"/>
  <c r="R25" i="5"/>
  <c r="C3" i="5"/>
  <c r="E7" i="5"/>
  <c r="R26" i="5"/>
  <c r="L26" i="5" l="1"/>
  <c r="L25" i="5"/>
  <c r="M23" i="1"/>
  <c r="AC5" i="1"/>
  <c r="D40" i="2"/>
  <c r="D15" i="2"/>
  <c r="D6" i="2"/>
  <c r="D45" i="2"/>
  <c r="D44" i="2"/>
  <c r="D11" i="2"/>
  <c r="U4" i="1"/>
  <c r="AC4" i="1" s="1"/>
  <c r="D24" i="2"/>
  <c r="D7" i="2"/>
  <c r="D29" i="2"/>
  <c r="D20" i="2"/>
  <c r="D3" i="2"/>
  <c r="D41" i="2"/>
  <c r="D37" i="2"/>
  <c r="D13" i="2"/>
  <c r="D4" i="2"/>
  <c r="D25" i="2"/>
  <c r="D8" i="2"/>
  <c r="D21" i="2"/>
  <c r="D42" i="2"/>
  <c r="D9" i="2"/>
  <c r="D5" i="2"/>
  <c r="D36" i="2"/>
  <c r="D43" i="2"/>
  <c r="D34" i="2"/>
  <c r="D46" i="2"/>
  <c r="AC6" i="1"/>
  <c r="D39" i="2"/>
  <c r="D38" i="2"/>
  <c r="D28" i="2"/>
  <c r="D35" i="2"/>
  <c r="D26" i="2"/>
  <c r="U3" i="1"/>
  <c r="D33" i="2"/>
  <c r="D31" i="2"/>
  <c r="D30" i="2"/>
  <c r="D22" i="2"/>
  <c r="D12" i="2"/>
  <c r="D27" i="2"/>
  <c r="D18" i="2"/>
  <c r="D32" i="2"/>
  <c r="D17" i="2"/>
  <c r="D23" i="2"/>
  <c r="D14" i="2"/>
  <c r="D19" i="2"/>
  <c r="D10" i="2"/>
  <c r="D16" i="2"/>
  <c r="Q3" i="5"/>
  <c r="R4" i="5" s="1"/>
  <c r="G7" i="5"/>
  <c r="P30" i="5"/>
  <c r="B36" i="1"/>
  <c r="B32" i="1"/>
  <c r="B30" i="1"/>
  <c r="B27" i="1"/>
  <c r="B25" i="1"/>
  <c r="B34" i="1"/>
  <c r="B31" i="1"/>
  <c r="B33" i="1"/>
  <c r="AA3" i="1"/>
  <c r="B29" i="1"/>
  <c r="B28" i="1"/>
  <c r="B26" i="1"/>
  <c r="B38" i="1"/>
  <c r="B24" i="1"/>
  <c r="AC3" i="1"/>
  <c r="AB3" i="1"/>
  <c r="B37" i="1"/>
  <c r="B35" i="1"/>
  <c r="N23" i="1"/>
  <c r="M24" i="1" l="1"/>
  <c r="Y3" i="1"/>
  <c r="N24" i="1"/>
  <c r="M25" i="1" l="1"/>
  <c r="N25" i="1"/>
  <c r="M26" i="1" l="1"/>
  <c r="N26" i="1"/>
  <c r="M27" i="1" l="1"/>
  <c r="N27" i="1"/>
  <c r="M28" i="1" l="1"/>
  <c r="N28" i="1"/>
  <c r="M29" i="1" l="1"/>
  <c r="N29" i="1"/>
  <c r="M30" i="1" l="1"/>
  <c r="N30" i="1"/>
  <c r="M31" i="1" l="1"/>
  <c r="N31" i="1"/>
  <c r="M32" i="1" l="1"/>
  <c r="N32" i="1"/>
  <c r="M33" i="1" l="1"/>
  <c r="N33" i="1"/>
  <c r="M34" i="1" l="1"/>
  <c r="N34" i="1"/>
  <c r="M35" i="1" l="1"/>
  <c r="N35" i="1"/>
  <c r="M36" i="1" l="1"/>
  <c r="N36" i="1"/>
  <c r="M37" i="1" l="1"/>
  <c r="N37" i="1"/>
  <c r="M38" i="1" l="1"/>
  <c r="N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<sst xmlns="http://schemas.openxmlformats.org/spreadsheetml/2006/main" count="323" uniqueCount="270">
  <si>
    <t>TxLat</t>
  </si>
  <si>
    <t>TxLon</t>
  </si>
  <si>
    <t>RxLat</t>
  </si>
  <si>
    <t>RxLon</t>
  </si>
  <si>
    <t>TxHt</t>
  </si>
  <si>
    <t>RxHt</t>
  </si>
  <si>
    <t>Refractivity</t>
  </si>
  <si>
    <t>Conductivity</t>
  </si>
  <si>
    <t>Dielectric</t>
  </si>
  <si>
    <t>Delta H</t>
  </si>
  <si>
    <t>Radio Climate</t>
  </si>
  <si>
    <t>Tx Sc</t>
  </si>
  <si>
    <t>Rx Sc</t>
  </si>
  <si>
    <t>Mode Var</t>
  </si>
  <si>
    <t>Time %</t>
  </si>
  <si>
    <t>Loc %</t>
  </si>
  <si>
    <t>Conf %</t>
  </si>
  <si>
    <t>Freq MHz</t>
  </si>
  <si>
    <t>Dist</t>
  </si>
  <si>
    <t>Polarity</t>
  </si>
  <si>
    <t>LOS</t>
  </si>
  <si>
    <t>Dist Km</t>
  </si>
  <si>
    <t>ITM Area</t>
  </si>
  <si>
    <t>ITM P2P</t>
  </si>
  <si>
    <t>Freq</t>
  </si>
  <si>
    <t>Function</t>
  </si>
  <si>
    <t>Value</t>
  </si>
  <si>
    <t>Result</t>
  </si>
  <si>
    <t>dBuV_to_Volts</t>
  </si>
  <si>
    <t>Volts_to_dBuV</t>
  </si>
  <si>
    <t>Volts_to_dBV</t>
  </si>
  <si>
    <t>dBV_to_dBuV</t>
  </si>
  <si>
    <t>dBuV_to_dBV</t>
  </si>
  <si>
    <t>dBV_to_Volts</t>
  </si>
  <si>
    <t>Category</t>
  </si>
  <si>
    <t>dBm_to_Watts</t>
  </si>
  <si>
    <t>Watts_to_dBm</t>
  </si>
  <si>
    <t>dBW_to_Watts</t>
  </si>
  <si>
    <t>Watts_to_dBW</t>
  </si>
  <si>
    <t>dBW_to_dBm</t>
  </si>
  <si>
    <t>dBm_to_dBW</t>
  </si>
  <si>
    <t>Linear Power</t>
  </si>
  <si>
    <t>Linear Voltage</t>
  </si>
  <si>
    <t>dBuA_to_uA</t>
  </si>
  <si>
    <t>uA_to_dBuA</t>
  </si>
  <si>
    <t>dBA_to_A</t>
  </si>
  <si>
    <t>dBA_to_dBuA</t>
  </si>
  <si>
    <t>A_to_dBA</t>
  </si>
  <si>
    <t>dBuA_to_dBA</t>
  </si>
  <si>
    <t>Linear Current</t>
  </si>
  <si>
    <t>dBuVpm_to_Vpm</t>
  </si>
  <si>
    <t>Vpm_to_dBuVpm</t>
  </si>
  <si>
    <t>dBuVpm_to_dBmWpm2</t>
  </si>
  <si>
    <t>dBmWpm2_to_dBuVpm</t>
  </si>
  <si>
    <t>dBuVpm_to_dBuApm</t>
  </si>
  <si>
    <t>dBuApm_to_dBuVpm</t>
  </si>
  <si>
    <t>dBuApm_to_dBpT</t>
  </si>
  <si>
    <t>dBpT_to_dBuApm</t>
  </si>
  <si>
    <t>Wpm2_to_Vpm</t>
  </si>
  <si>
    <t>Vpm_to_Wpm2</t>
  </si>
  <si>
    <t>uT_to_Apm</t>
  </si>
  <si>
    <t>Apm_to_uT</t>
  </si>
  <si>
    <t>Power Density</t>
  </si>
  <si>
    <t>feet_to_meters</t>
  </si>
  <si>
    <t>Meters_to_Feet</t>
  </si>
  <si>
    <t>Miles_to_Kilometers</t>
  </si>
  <si>
    <t>Kilometeres_to_Miles</t>
  </si>
  <si>
    <t>feet_to_miles</t>
  </si>
  <si>
    <t>Miles_to_Feet</t>
  </si>
  <si>
    <t>meters_to_kilometers</t>
  </si>
  <si>
    <t>Kilometers_to_Meters</t>
  </si>
  <si>
    <t>Distance</t>
  </si>
  <si>
    <t>fahrenheit_to_celsius</t>
  </si>
  <si>
    <t>Celsius_to_Fahrenheit</t>
  </si>
  <si>
    <t>celsius_to_kelvin</t>
  </si>
  <si>
    <t>Kelvin_to_Celsius</t>
  </si>
  <si>
    <t>fahrenheit_to_kelvin</t>
  </si>
  <si>
    <t>Kelvin_to_Fahrenheit</t>
  </si>
  <si>
    <t>Temperature</t>
  </si>
  <si>
    <t>gpm3_to_hPa</t>
  </si>
  <si>
    <t>Misc</t>
  </si>
  <si>
    <t>Latitude</t>
  </si>
  <si>
    <t>Longitude</t>
  </si>
  <si>
    <t>Latitude 1</t>
  </si>
  <si>
    <t>Longitude 1</t>
  </si>
  <si>
    <t>Latitude 2</t>
  </si>
  <si>
    <t>Longitude 2</t>
  </si>
  <si>
    <t>Distance (Km)</t>
  </si>
  <si>
    <t>Bearing (Deg)</t>
  </si>
  <si>
    <t>Height 1 (m)</t>
  </si>
  <si>
    <t>Height 2 (m)</t>
  </si>
  <si>
    <t>Line-Of-Sight</t>
  </si>
  <si>
    <t>P.528</t>
  </si>
  <si>
    <t>Delta Bearing</t>
  </si>
  <si>
    <t>3dB EMS</t>
  </si>
  <si>
    <t>20dB EMS</t>
  </si>
  <si>
    <t>40dB EMS</t>
  </si>
  <si>
    <t>60dB EMS</t>
  </si>
  <si>
    <t>Transmitter</t>
  </si>
  <si>
    <t>Receiver</t>
  </si>
  <si>
    <t>FDR</t>
  </si>
  <si>
    <t>Earth Station</t>
  </si>
  <si>
    <t>Satellite</t>
  </si>
  <si>
    <t>Slang Dist (Km)</t>
  </si>
  <si>
    <t>Satellite Pointing Angle</t>
  </si>
  <si>
    <t>Slant Range (Km)</t>
  </si>
  <si>
    <t>Azimuth (Deg)</t>
  </si>
  <si>
    <t>Elevation (Deg)</t>
  </si>
  <si>
    <t>Elev (Deg) Corrected</t>
  </si>
  <si>
    <t>Sataz Result</t>
  </si>
  <si>
    <t>Beyond Line-of-Sight</t>
  </si>
  <si>
    <t>Efficiency</t>
  </si>
  <si>
    <t>BmWToGain_dB</t>
  </si>
  <si>
    <t>StatGainWolfGain</t>
  </si>
  <si>
    <t>Main Beam Gain (dB)</t>
  </si>
  <si>
    <t>Off Axis Angle (Deg)</t>
  </si>
  <si>
    <t>Beamwidth (Deg)</t>
  </si>
  <si>
    <t>Statgain</t>
  </si>
  <si>
    <t>Free Space</t>
  </si>
  <si>
    <t>WaterVapuorPartialPressure (hPa)</t>
  </si>
  <si>
    <t>DryAirPressure (hPa)</t>
  </si>
  <si>
    <t>Temp (K)</t>
  </si>
  <si>
    <t>P.676</t>
  </si>
  <si>
    <t>Terrain Ht(m)</t>
  </si>
  <si>
    <t>Tx</t>
  </si>
  <si>
    <t>Rx</t>
  </si>
  <si>
    <t>Bandwidth (MHz)</t>
  </si>
  <si>
    <t>Frequency (MHz)</t>
  </si>
  <si>
    <t>Power (dBm)</t>
  </si>
  <si>
    <t>Gain (dBi)</t>
  </si>
  <si>
    <t>Polarization</t>
  </si>
  <si>
    <t>Insertion Loss</t>
  </si>
  <si>
    <t>Bearing</t>
  </si>
  <si>
    <t>Rev Bear</t>
  </si>
  <si>
    <t>Dist (Km)</t>
  </si>
  <si>
    <t>V</t>
  </si>
  <si>
    <t>Antenna</t>
  </si>
  <si>
    <t>Shroweded Dish</t>
  </si>
  <si>
    <t>Victim Params</t>
  </si>
  <si>
    <t>Interferring Params</t>
  </si>
  <si>
    <t>Desired Signal Level (dBm)</t>
  </si>
  <si>
    <t>Receiver Noise Figure (dB)</t>
  </si>
  <si>
    <t>Ht (m)</t>
  </si>
  <si>
    <t>Interferring Tx to Victim Rx</t>
  </si>
  <si>
    <t>Standard Dish</t>
  </si>
  <si>
    <t>where:</t>
  </si>
  <si>
    <t xml:space="preserve">         victim receiver, in dBi</t>
  </si>
  <si>
    <t xml:space="preserve">         interfering transmitter, in dBi</t>
  </si>
  <si>
    <t xml:space="preserve">         FDR is the frequency dependent rejection between the transmitter and receiver, in dB</t>
  </si>
  <si>
    <t>C/I = C – Pt – Gt – Gr + Lp + FDR + Ltx + Lrx + Lpol</t>
  </si>
  <si>
    <t xml:space="preserve">       C is the peak desired signal carrier power at the receiver input, in dBm</t>
  </si>
  <si>
    <t xml:space="preserve">         Pt is the peak transmitter power of the interfering transmitter, in dBm</t>
  </si>
  <si>
    <t xml:space="preserve">         Gt is the antenna gain of the interfering transmitter in the direction of the </t>
  </si>
  <si>
    <t xml:space="preserve">         Gr is the antenna gain of the victim receiver in the direction of the </t>
  </si>
  <si>
    <t xml:space="preserve">         Lp is the propagation path loss, in dB</t>
  </si>
  <si>
    <t xml:space="preserve">         Ltx is the insertion losses from the interfering transmitter output to the antenna, in dB</t>
  </si>
  <si>
    <t xml:space="preserve">         Lrx is the insertion losses from the victim antenna to the receiver input, in dB</t>
  </si>
  <si>
    <t xml:space="preserve">        Lpol is the polarization mismatch loss, in dB</t>
  </si>
  <si>
    <t>CALCULATION OF C/I</t>
  </si>
  <si>
    <t>=</t>
  </si>
  <si>
    <t>C</t>
  </si>
  <si>
    <t>Pt</t>
  </si>
  <si>
    <t>Gt</t>
  </si>
  <si>
    <t>Gr</t>
  </si>
  <si>
    <t>Lp</t>
  </si>
  <si>
    <t>LTx</t>
  </si>
  <si>
    <t>Lpol</t>
  </si>
  <si>
    <t>ITM A</t>
  </si>
  <si>
    <t>LRx</t>
  </si>
  <si>
    <t>The C/I for a terrestrial system can be related to the receiver performance in the presence of interference.</t>
  </si>
  <si>
    <t>This relationship is the relative levels of the received desired signal carrier power to the interference power at the input to the victim receiver.</t>
  </si>
  <si>
    <t>C(-29.5)/N(-102.5)</t>
  </si>
  <si>
    <t>SINGLE-ENTRY IPC</t>
  </si>
  <si>
    <t>•      RECEIVER NOISE LEVEL</t>
  </si>
  <si>
    <t>N = -114 + 10 Log (25) + 3.5 = -96.5 dBm</t>
  </si>
  <si>
    <t xml:space="preserve">•      MAXIMUM PERMISSIBLE INTERFERENCE LEVEL </t>
  </si>
  <si>
    <t xml:space="preserve">  IMAX = N + I/N = -96.5 - 6 = -102.5 dBm</t>
  </si>
  <si>
    <t>Calc C/I</t>
  </si>
  <si>
    <r>
      <t>•      BIT ERROR RATE (BER) REDUCTION FROM 10</t>
    </r>
    <r>
      <rPr>
        <vertAlign val="superscript"/>
        <sz val="11"/>
        <color theme="1"/>
        <rFont val="Calibri"/>
        <family val="2"/>
        <scheme val="minor"/>
      </rPr>
      <t>-6</t>
    </r>
    <r>
      <rPr>
        <sz val="11"/>
        <color theme="1"/>
        <rFont val="Calibri"/>
        <family val="2"/>
        <scheme val="minor"/>
      </rPr>
      <t xml:space="preserve"> to 10</t>
    </r>
    <r>
      <rPr>
        <vertAlign val="superscript"/>
        <sz val="11"/>
        <color theme="1"/>
        <rFont val="Calibri"/>
        <family val="2"/>
        <scheme val="minor"/>
      </rPr>
      <t>-5</t>
    </r>
  </si>
  <si>
    <t>Pointing Angle</t>
  </si>
  <si>
    <t>Off-Axis Angle</t>
  </si>
  <si>
    <t>Deg</t>
  </si>
  <si>
    <t>Gt Delta Bearing</t>
  </si>
  <si>
    <t>Gr Delta Bearing</t>
  </si>
  <si>
    <t>Name</t>
  </si>
  <si>
    <t>Tx Lat</t>
  </si>
  <si>
    <t>Tx Lon</t>
  </si>
  <si>
    <t>Tx Ht (m)</t>
  </si>
  <si>
    <t>Rx Lat</t>
  </si>
  <si>
    <t>Rx Lon</t>
  </si>
  <si>
    <t>Rx Ht (m)</t>
  </si>
  <si>
    <t>Radius (Km)</t>
  </si>
  <si>
    <t>P1</t>
  </si>
  <si>
    <t>P2</t>
  </si>
  <si>
    <t>P3</t>
  </si>
  <si>
    <t>P4</t>
  </si>
  <si>
    <t>Given</t>
  </si>
  <si>
    <t>RadHor(Km)</t>
  </si>
  <si>
    <t>C/I (dB)</t>
  </si>
  <si>
    <t>Req'd C/I (dB)</t>
  </si>
  <si>
    <t>RxBW</t>
  </si>
  <si>
    <t>Two Signal</t>
  </si>
  <si>
    <t>Three Signal</t>
  </si>
  <si>
    <t>Harmonic</t>
  </si>
  <si>
    <t>Input Values</t>
  </si>
  <si>
    <t>Terrain Handler:</t>
  </si>
  <si>
    <t>Terrain Directory:</t>
  </si>
  <si>
    <t>C:\USGS</t>
  </si>
  <si>
    <t>Land Mobile Service Models</t>
  </si>
  <si>
    <t>Input Fields</t>
  </si>
  <si>
    <t>Loss</t>
  </si>
  <si>
    <t>Frequency</t>
  </si>
  <si>
    <t>MHz</t>
  </si>
  <si>
    <t>Okumura-Hata ITU 529</t>
  </si>
  <si>
    <t>db</t>
  </si>
  <si>
    <t>Base Station Antenna Height</t>
  </si>
  <si>
    <t>m</t>
  </si>
  <si>
    <t>Okumura-Hata Davidson</t>
  </si>
  <si>
    <t>Mobile Anntenna Height</t>
  </si>
  <si>
    <t>Cost 231</t>
  </si>
  <si>
    <t>Km</t>
  </si>
  <si>
    <t>Area</t>
  </si>
  <si>
    <t>Urban</t>
  </si>
  <si>
    <t>Field Strength</t>
  </si>
  <si>
    <t>City Size</t>
  </si>
  <si>
    <t>Large</t>
  </si>
  <si>
    <t>dB mv / m</t>
  </si>
  <si>
    <t>Time</t>
  </si>
  <si>
    <t>%</t>
  </si>
  <si>
    <t>Location</t>
  </si>
  <si>
    <t>Power</t>
  </si>
  <si>
    <t>watts</t>
  </si>
  <si>
    <t>Frequency Range 150 MHz to 1500 MHz</t>
  </si>
  <si>
    <t>Base Station Antenna Height 30 m to 200 m</t>
  </si>
  <si>
    <t>Mobiel Antenna Height 1 m to 10 m</t>
  </si>
  <si>
    <t>Distance &lt;= 300 Km</t>
  </si>
  <si>
    <t>Frequency Range 1500 MHz to 2000 MHz</t>
  </si>
  <si>
    <t>Distance &lt;= 100 Km</t>
  </si>
  <si>
    <t>Frequency Range 30 MHz to 2000 MHz</t>
  </si>
  <si>
    <t>Base Station Antenna Height 20 m to 2500 m</t>
  </si>
  <si>
    <t>Cost 231 (European Cooperative for Scientific and Technical Research)</t>
  </si>
  <si>
    <t>Okumura-Hata Davidson (Often used in American Software)</t>
  </si>
  <si>
    <t>Okumura-Hata ITU 529 (Recognized as the Original Hata Model)</t>
  </si>
  <si>
    <t>Origin: Empirical formulas developed by Masaharu Hata in 1980, which were based on the original graphical propagation data collected by Yoshihisa Okumura in Japan in the 1960s.</t>
  </si>
  <si>
    <t>Propagation Models</t>
  </si>
  <si>
    <t>ITM</t>
  </si>
  <si>
    <t>empirical models developed by Anita Longley and Phil Rice.</t>
  </si>
  <si>
    <t>between 20 MHz and 20 GHz based on electromagnetic theory and</t>
  </si>
  <si>
    <t>Predicts terrestrial radiowave propagation for frequencies</t>
  </si>
  <si>
    <t xml:space="preserve">Recommendation contains a method for predicting basic </t>
  </si>
  <si>
    <t xml:space="preserve">transmission loss in the frequency range 100-30 000 MHz for </t>
  </si>
  <si>
    <t>aeronautical services. (air-to-ground paths)</t>
  </si>
  <si>
    <t xml:space="preserve">Estimates the instantaneous slant path gaseous attenuation </t>
  </si>
  <si>
    <t xml:space="preserve">due to oxygen and water vapour for the frequency range from </t>
  </si>
  <si>
    <t>1 to 350 GHz.</t>
  </si>
  <si>
    <t>EASY Statistical Antenna Gain Model for Fixed-Azimuth Antennas, ECAC-TN-85-023, Joint Spectrum Center, Annapolis, MD (1985).</t>
  </si>
  <si>
    <t>Used to calculate the Fixed Service antenna reference radiation pattern when Gmax ≥ 10 dBi.</t>
  </si>
  <si>
    <t>Wolfgain</t>
  </si>
  <si>
    <t>Wolfgain formula provides a simple and conservative method to calculate the Fixed Service and Land Mobile Service antenna reference radiation patterns when Gmax &lt; 10 dBi.</t>
  </si>
  <si>
    <t xml:space="preserve">H. Maddoxs, Antenna Gain Estimation, Joint Spectrum Center, Annapolis, MD (1974). </t>
  </si>
  <si>
    <t>Antenna Models For Electromagnetic Compatibility Analyses.</t>
  </si>
  <si>
    <t>NTIA TM-13-489</t>
  </si>
  <si>
    <t>https://www.ntia.gov/files/ntia/publications/antenna_models_report_tm-13-489.pdf</t>
  </si>
  <si>
    <t xml:space="preserve">in a non-linear system (like amplifiers or receivers), producing unwanted, new frequencies. These new, spurious signals </t>
  </si>
  <si>
    <t>can cause significant distortion in radio, wireless audio, and communication systems.</t>
  </si>
  <si>
    <r>
      <rPr>
        <b/>
        <sz val="11"/>
        <color theme="1"/>
        <rFont val="Calibri"/>
        <family val="2"/>
        <scheme val="minor"/>
      </rPr>
      <t>Intermodulation (intermod or IMD)</t>
    </r>
    <r>
      <rPr>
        <sz val="11"/>
        <color theme="1"/>
        <rFont val="Calibri"/>
        <family val="2"/>
        <scheme val="minor"/>
      </rPr>
      <t xml:space="preserve"> is a form of signal interference occurring when two or more frequencies combine </t>
    </r>
  </si>
  <si>
    <t>Intermodulation Products:</t>
  </si>
  <si>
    <t xml:space="preserve">Third-Order: Most severe in radio, as they fall closest to the original signals </t>
  </si>
  <si>
    <t>Higher-Order: 5th, 7th, etc., which are usually weaker but still cause interference.</t>
  </si>
  <si>
    <t>Second-Order: Sum and difference of the input frequencies.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</si>
</sst>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2328"/>
      <name val="Segoe UI"/>
      <family val="2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9" fontId="0" fillId="0" borderId="1" xfId="0" applyNumberForma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9" fontId="0" fillId="0" borderId="1" xfId="1" applyFont="1" applyBorder="1"/>
    <xf numFmtId="0" fontId="1" fillId="2" borderId="3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7" xfId="0" applyBorder="1"/>
    <xf numFmtId="2" fontId="0" fillId="0" borderId="1" xfId="0" applyNumberFormat="1" applyBorder="1"/>
    <xf numFmtId="2" fontId="0" fillId="0" borderId="0" xfId="0" applyNumberFormat="1"/>
    <xf numFmtId="0" fontId="0" fillId="5" borderId="1" xfId="0" applyFill="1" applyBorder="1"/>
    <xf numFmtId="0" fontId="3" fillId="5" borderId="1" xfId="0" applyFont="1" applyFill="1" applyBorder="1"/>
    <xf numFmtId="164" fontId="0" fillId="5" borderId="1" xfId="0" applyNumberFormat="1" applyFill="1" applyBorder="1"/>
    <xf numFmtId="0" fontId="0" fillId="0" borderId="1" xfId="0" applyBorder="1" applyAlignment="1">
      <alignment wrapText="1"/>
    </xf>
    <xf numFmtId="164" fontId="0" fillId="5" borderId="0" xfId="0" applyNumberFormat="1" applyFill="1"/>
    <xf numFmtId="0" fontId="0" fillId="3" borderId="3" xfId="0" applyFill="1" applyBorder="1"/>
    <xf numFmtId="0" fontId="0" fillId="7" borderId="1" xfId="0" applyFill="1" applyBorder="1"/>
    <xf numFmtId="9" fontId="0" fillId="7" borderId="1" xfId="0" applyNumberForma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textRotation="90"/>
    </xf>
    <xf numFmtId="0" fontId="1" fillId="4" borderId="2" xfId="0" applyFont="1" applyFill="1" applyBorder="1" applyAlignment="1">
      <alignment horizontal="center" vertical="center" textRotation="90"/>
    </xf>
    <xf numFmtId="0" fontId="1" fillId="4" borderId="4" xfId="0" applyFont="1" applyFill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 textRotation="90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/>
    <xf numFmtId="0" fontId="0" fillId="8" borderId="1" xfId="0" applyFill="1" applyBorder="1"/>
    <xf numFmtId="0" fontId="7" fillId="0" borderId="0" xfId="0" applyFont="1"/>
    <xf numFmtId="0" fontId="8" fillId="0" borderId="0" xfId="0" applyFont="1"/>
    <xf numFmtId="0" fontId="9" fillId="0" borderId="0" xfId="2"/>
    <xf numFmtId="0" fontId="0" fillId="0" borderId="0" xfId="0" applyAlignment="1"/>
    <xf numFmtId="0" fontId="0" fillId="0" borderId="0" xfId="0" applyFill="1" applyBorder="1" applyAlignment="1"/>
    <xf numFmtId="0" fontId="1" fillId="0" borderId="0" xfId="0" applyFont="1" applyFill="1" applyBorder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ITM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Propagation!$A$23:$A$38</c:f>
              <c:numCache>
                <c:formatCode>General</c:formatCode>
                <c:ptCount val="1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</c:numCache>
            </c:numRef>
          </c:xVal>
          <c:yVal>
            <c:numRef>
              <c:f>Propagation!$B$23:$B$38</c:f>
              <c:numCache>
                <c:formatCode>General</c:formatCode>
                <c:ptCount val="16"/>
                <c:pt idx="0">
                  <c:v>176.35416608939531</c:v>
                </c:pt>
                <c:pt idx="1">
                  <c:v>186.87976908830476</c:v>
                </c:pt>
                <c:pt idx="2">
                  <c:v>197.24551913339644</c:v>
                </c:pt>
                <c:pt idx="3">
                  <c:v>207.52789850239242</c:v>
                </c:pt>
                <c:pt idx="4">
                  <c:v>209.4443793957183</c:v>
                </c:pt>
                <c:pt idx="5">
                  <c:v>210.66103070828476</c:v>
                </c:pt>
                <c:pt idx="6">
                  <c:v>211.79807317762641</c:v>
                </c:pt>
                <c:pt idx="7">
                  <c:v>212.88192518947073</c:v>
                </c:pt>
                <c:pt idx="8">
                  <c:v>213.93526701187233</c:v>
                </c:pt>
                <c:pt idx="9">
                  <c:v>214.9770617162292</c:v>
                </c:pt>
                <c:pt idx="10">
                  <c:v>216.02224872255118</c:v>
                </c:pt>
                <c:pt idx="11">
                  <c:v>217.08146223455873</c:v>
                </c:pt>
                <c:pt idx="12">
                  <c:v>218.16101303187853</c:v>
                </c:pt>
                <c:pt idx="13">
                  <c:v>219.26323500631244</c:v>
                </c:pt>
                <c:pt idx="14">
                  <c:v>220.3871640114109</c:v>
                </c:pt>
                <c:pt idx="15">
                  <c:v>221.52942277502015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DE-4822-87FC-B98BD1184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24584"/>
        <c:axId val="588930488"/>
      </c:scatterChart>
      <c:valAx>
        <c:axId val="588924584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30488"/>
        <c:crosses val="autoZero"/>
        <c:crossBetween val="midCat"/>
      </c:valAx>
      <c:valAx>
        <c:axId val="58893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24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ITM Point-To-Point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Propagation!$M$23:$M$38</c:f>
              <c:numCache>
                <c:formatCode>General</c:formatCode>
                <c:ptCount val="16"/>
                <c:pt idx="0">
                  <c:v>8000</c:v>
                </c:pt>
                <c:pt idx="1">
                  <c:v>8500</c:v>
                </c:pt>
                <c:pt idx="2">
                  <c:v>9000</c:v>
                </c:pt>
                <c:pt idx="3">
                  <c:v>9500</c:v>
                </c:pt>
                <c:pt idx="4">
                  <c:v>10000</c:v>
                </c:pt>
                <c:pt idx="5">
                  <c:v>10500</c:v>
                </c:pt>
                <c:pt idx="6">
                  <c:v>11000</c:v>
                </c:pt>
                <c:pt idx="7">
                  <c:v>11500</c:v>
                </c:pt>
                <c:pt idx="8">
                  <c:v>12000</c:v>
                </c:pt>
                <c:pt idx="9">
                  <c:v>12500</c:v>
                </c:pt>
                <c:pt idx="10">
                  <c:v>13000</c:v>
                </c:pt>
                <c:pt idx="11">
                  <c:v>13500</c:v>
                </c:pt>
                <c:pt idx="12">
                  <c:v>14000</c:v>
                </c:pt>
                <c:pt idx="13">
                  <c:v>14500</c:v>
                </c:pt>
                <c:pt idx="14">
                  <c:v>15000</c:v>
                </c:pt>
                <c:pt idx="15">
                  <c:v>15500</c:v>
                </c:pt>
              </c:numCache>
            </c:numRef>
          </c:xVal>
          <c:yVal>
            <c:numRef>
              <c:f>Propagation!$N$23:$N$38</c:f>
              <c:numCache>
                <c:formatCode>General</c:formatCode>
                <c:ptCount val="16"/>
                <c:pt idx="0">
                  <c:v>135.42766979138744</c:v>
                </c:pt>
                <c:pt idx="1">
                  <c:v>135.95371367721219</c:v>
                </c:pt>
                <c:pt idx="2">
                  <c:v>136.44968437376377</c:v>
                </c:pt>
                <c:pt idx="3">
                  <c:v>136.91883544733909</c:v>
                </c:pt>
                <c:pt idx="4">
                  <c:v>137.36391944334778</c:v>
                </c:pt>
                <c:pt idx="5">
                  <c:v>137.78728575442187</c:v>
                </c:pt>
                <c:pt idx="6">
                  <c:v>138.1909557003485</c:v>
                </c:pt>
                <c:pt idx="7">
                  <c:v>138.57668090486609</c:v>
                </c:pt>
                <c:pt idx="8">
                  <c:v>138.94598923918485</c:v>
                </c:pt>
                <c:pt idx="9">
                  <c:v>139.30022138052666</c:v>
                </c:pt>
                <c:pt idx="10">
                  <c:v>139.64056019618354</c:v>
                </c:pt>
                <c:pt idx="11">
                  <c:v>139.96805457904148</c:v>
                </c:pt>
                <c:pt idx="12">
                  <c:v>140.2836389462158</c:v>
                </c:pt>
                <c:pt idx="13">
                  <c:v>140.58814931456496</c:v>
                </c:pt>
                <c:pt idx="14">
                  <c:v>140.88233664983366</c:v>
                </c:pt>
                <c:pt idx="15">
                  <c:v>141.16687802613515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2-4B1E-B2DA-F1FA1E7B3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24584"/>
        <c:axId val="588930488"/>
      </c:scatterChart>
      <c:valAx>
        <c:axId val="588924584"/>
        <c:scaling>
          <c:orientation val="minMax"/>
          <c:min val="7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Frequency,</a:t>
                </a:r>
                <a:r>
                  <a:rPr lang="en-US" baseline="0"/>
                  <a:t> (MHz)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30488"/>
        <c:crosses val="autoZero"/>
        <c:crossBetween val="midCat"/>
      </c:valAx>
      <c:valAx>
        <c:axId val="58893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24584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Antenna!$G$2</c:f>
              <c:strCache>
                <c:ptCount val="1"/>
                <c:pt idx="0">
                  <c:v>Statgain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Antenna!$B$3:$B$23</c:f>
              <c:numCache>
                <c:formatCode>0.00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Antenna!$G$3:$G$23</c:f>
              <c:numCache>
                <c:formatCode>0.0000</c:formatCode>
                <c:ptCount val="21"/>
                <c:pt idx="0">
                  <c:v>43</c:v>
                </c:pt>
                <c:pt idx="1">
                  <c:v>41.004737685031124</c:v>
                </c:pt>
                <c:pt idx="2">
                  <c:v>35.018950740124481</c:v>
                </c:pt>
                <c:pt idx="3">
                  <c:v>25.25</c:v>
                </c:pt>
                <c:pt idx="4">
                  <c:v>23.974250108400469</c:v>
                </c:pt>
                <c:pt idx="5">
                  <c:v>21.551499783199059</c:v>
                </c:pt>
                <c:pt idx="6">
                  <c:v>19.571968632008439</c:v>
                </c:pt>
                <c:pt idx="7">
                  <c:v>17.898298891243108</c:v>
                </c:pt>
                <c:pt idx="8">
                  <c:v>16.448500216800941</c:v>
                </c:pt>
                <c:pt idx="9">
                  <c:v>15.169687155616408</c:v>
                </c:pt>
                <c:pt idx="10">
                  <c:v>14.025749891599528</c:v>
                </c:pt>
                <c:pt idx="11">
                  <c:v>12.990932762643904</c:v>
                </c:pt>
                <c:pt idx="12">
                  <c:v>12.046218740408911</c:v>
                </c:pt>
                <c:pt idx="13">
                  <c:v>11.177166083928611</c:v>
                </c:pt>
                <c:pt idx="14">
                  <c:v>10.37254899964358</c:v>
                </c:pt>
                <c:pt idx="15">
                  <c:v>9.6234684152074976</c:v>
                </c:pt>
                <c:pt idx="16">
                  <c:v>8.9227503252014131</c:v>
                </c:pt>
                <c:pt idx="17">
                  <c:v>8.2645268571426804</c:v>
                </c:pt>
                <c:pt idx="18">
                  <c:v>7.643937264016877</c:v>
                </c:pt>
                <c:pt idx="19">
                  <c:v>7.0569098677788062</c:v>
                </c:pt>
                <c:pt idx="20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D-4D7E-A913-D8A09E1BB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252216"/>
        <c:axId val="613252544"/>
      </c:lineChart>
      <c:catAx>
        <c:axId val="61325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Off Axis Angle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52544"/>
        <c:crosses val="autoZero"/>
        <c:auto val="1"/>
        <c:lblAlgn val="ctr"/>
        <c:lblOffset val="100"/>
        <c:noMultiLvlLbl val="0"/>
      </c:catAx>
      <c:valAx>
        <c:axId val="61325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25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20</xdr:row>
      <xdr:rowOff>190499</xdr:rowOff>
    </xdr:from>
    <xdr:to>
      <xdr:col>10</xdr:col>
      <xdr:colOff>180975</xdr:colOff>
      <xdr:row>37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21</xdr:row>
      <xdr:rowOff>0</xdr:rowOff>
    </xdr:from>
    <xdr:to>
      <xdr:col>22</xdr:col>
      <xdr:colOff>419100</xdr:colOff>
      <xdr:row>37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8</xdr:col>
      <xdr:colOff>600075</xdr:colOff>
      <xdr:row>30</xdr:row>
      <xdr:rowOff>157163</xdr:rowOff>
    </xdr:to>
    <xdr:pic>
      <xdr:nvPicPr>
        <xdr:cNvPr id="8" name="Picture 7" descr="Drocella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2095500"/>
          <a:ext cx="5486400" cy="43481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8</xdr:col>
      <xdr:colOff>628650</xdr:colOff>
      <xdr:row>48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6696075"/>
          <a:ext cx="5514975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2</xdr:row>
      <xdr:rowOff>0</xdr:rowOff>
    </xdr:from>
    <xdr:to>
      <xdr:col>21</xdr:col>
      <xdr:colOff>9525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ntia.gov/files/ntia/publications/antenna_models_report_tm-13-489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I38"/>
  <sheetViews>
    <sheetView workbookViewId="0">
      <selection activeCell="N23" sqref="N23"/>
    </sheetView>
  </sheetViews>
  <sheetFormatPr defaultRowHeight="15" x14ac:dyDescent="0.25"/>
  <cols>
    <col min="8" max="8" width="9.140625" customWidth="1"/>
    <col min="9" max="9" width="12.140625" bestFit="1" customWidth="1"/>
    <col min="10" max="10" width="9.42578125" bestFit="1" customWidth="1"/>
    <col min="14" max="14" width="9.7109375" customWidth="1"/>
    <col min="16" max="16" width="9.85546875" customWidth="1"/>
    <col min="17" max="17" width="9.5703125" bestFit="1" customWidth="1"/>
    <col min="22" max="22" width="10.5703125" customWidth="1"/>
  </cols>
  <sheetData>
    <row r="2" spans="1:35" ht="58.5" customHeight="1" x14ac:dyDescent="0.25">
      <c r="A2" s="1" t="s">
        <v>17</v>
      </c>
      <c r="B2" s="1" t="s">
        <v>0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5</v>
      </c>
      <c r="H2" s="1" t="s">
        <v>19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121</v>
      </c>
      <c r="U2" s="10" t="s">
        <v>119</v>
      </c>
      <c r="V2" s="10" t="s">
        <v>120</v>
      </c>
      <c r="W2" s="1" t="s">
        <v>18</v>
      </c>
      <c r="X2" s="1" t="s">
        <v>20</v>
      </c>
      <c r="Y2" s="1" t="s">
        <v>118</v>
      </c>
      <c r="Z2" s="1" t="s">
        <v>23</v>
      </c>
      <c r="AA2" s="1" t="s">
        <v>22</v>
      </c>
      <c r="AB2" s="1" t="s">
        <v>92</v>
      </c>
      <c r="AC2" s="1" t="s">
        <v>122</v>
      </c>
    </row>
    <row r="3" spans="1:35" x14ac:dyDescent="0.25">
      <c r="A3" s="29">
        <v>8000</v>
      </c>
      <c r="B3" s="29">
        <v>39.566355999999999</v>
      </c>
      <c r="C3" s="29">
        <v>-77.013035000000002</v>
      </c>
      <c r="D3" s="29">
        <v>50</v>
      </c>
      <c r="E3" s="29">
        <v>39.634782999999999</v>
      </c>
      <c r="F3" s="29">
        <v>-77.2</v>
      </c>
      <c r="G3" s="29">
        <v>10</v>
      </c>
      <c r="H3" s="29">
        <v>1</v>
      </c>
      <c r="I3" s="29">
        <v>301</v>
      </c>
      <c r="J3" s="29">
        <v>5.0000000000000001E-3</v>
      </c>
      <c r="K3" s="29">
        <v>15</v>
      </c>
      <c r="L3" s="29">
        <v>90</v>
      </c>
      <c r="M3" s="29">
        <v>5</v>
      </c>
      <c r="N3" s="29">
        <v>2</v>
      </c>
      <c r="O3" s="29">
        <v>2</v>
      </c>
      <c r="P3" s="29">
        <v>0</v>
      </c>
      <c r="Q3" s="30">
        <v>0.5</v>
      </c>
      <c r="R3" s="30">
        <v>0.5</v>
      </c>
      <c r="S3" s="30">
        <v>0.5</v>
      </c>
      <c r="T3" s="23">
        <f>_xll.Celsius_to_Kelvin(15)</f>
        <v>288.14999999999998</v>
      </c>
      <c r="U3" s="23">
        <f>_xll.gpm3_to_hPa(7.5,T3)</f>
        <v>9.9728887863405635</v>
      </c>
      <c r="V3" s="29">
        <v>1013.25</v>
      </c>
      <c r="W3" s="23">
        <f>_xll.DistKm(B3,C3,E3,F3)</f>
        <v>17.76476411326108</v>
      </c>
      <c r="X3" s="23" t="b">
        <f>_xll.IsLOS(B3,C3,E3,F3,D3,G3,1,TerDirectory)</f>
        <v>1</v>
      </c>
      <c r="Y3" s="23">
        <f>_xll.FreeSpace(W3,A3)</f>
        <v>135.50298864283701</v>
      </c>
      <c r="Z3" s="23">
        <f>_xll.ITMPointToPoint(D3,G3,B3,C3,E3,F3,M3,I3,A3,H3,K3,J3,P3,Q3*100,R3*100,S3*100,TerHandler,TerDirectory)</f>
        <v>135.42766979138744</v>
      </c>
      <c r="AA3" s="23">
        <f>_xll.ITMArea(D3,G3,N3,O3,W3,L3,M3,I3,A3,H3,K3,J3,P3,Q3*100,R3*100,S3*100)</f>
        <v>137.74535973059781</v>
      </c>
      <c r="AB3" s="23">
        <f>_xll.P528_5(W3,MIN(D3,G3),MAX(D3,G3),A3,H3,Q3*100)</f>
        <v>135.61004247905726</v>
      </c>
      <c r="AC3" s="23">
        <f>_xll.P676_SpecificAttenuation_dB(A3/1000,T3,U3,V3,W3)</f>
        <v>0.20280107795331906</v>
      </c>
    </row>
    <row r="4" spans="1:35" x14ac:dyDescent="0.25">
      <c r="A4" s="2">
        <v>7400</v>
      </c>
      <c r="B4" s="2">
        <v>39.566355999999999</v>
      </c>
      <c r="C4" s="2">
        <v>-77.013035000000002</v>
      </c>
      <c r="D4" s="2">
        <v>50</v>
      </c>
      <c r="E4" s="2">
        <v>39.634782999999999</v>
      </c>
      <c r="F4" s="2">
        <v>-78.231067999999993</v>
      </c>
      <c r="G4" s="2">
        <v>10</v>
      </c>
      <c r="H4" s="2">
        <v>1</v>
      </c>
      <c r="I4" s="2">
        <v>301</v>
      </c>
      <c r="J4" s="2">
        <v>5.0000000000000001E-3</v>
      </c>
      <c r="K4" s="2">
        <v>15</v>
      </c>
      <c r="L4" s="2">
        <v>90</v>
      </c>
      <c r="M4" s="2">
        <v>5</v>
      </c>
      <c r="N4" s="2">
        <v>2</v>
      </c>
      <c r="O4" s="2">
        <v>2</v>
      </c>
      <c r="P4" s="2">
        <v>0</v>
      </c>
      <c r="Q4" s="3">
        <v>0.5</v>
      </c>
      <c r="R4" s="3">
        <v>0.5</v>
      </c>
      <c r="S4" s="3">
        <v>0.5</v>
      </c>
      <c r="T4" s="23">
        <f>_xll.Celsius_to_Kelvin(15)</f>
        <v>288.14999999999998</v>
      </c>
      <c r="U4" s="23">
        <f>_xll.gpm3_to_hPa(7.5,T4)</f>
        <v>9.9728887863405635</v>
      </c>
      <c r="V4" s="2">
        <v>1013.25</v>
      </c>
      <c r="W4" s="23">
        <f>_xll.DistKm(B4,C4,E4,F4)</f>
        <v>104.89071248171258</v>
      </c>
      <c r="X4" s="23" t="b">
        <f>_xll.IsLOS(B4,C4,E4,F4,D4,G4,1,TerDirectory)</f>
        <v>0</v>
      </c>
      <c r="Y4" s="23">
        <f>_xll.FreeSpace(W4,A4)</f>
        <v>150.24937510291187</v>
      </c>
      <c r="Z4" s="23">
        <f>_xll.ITMPointToPoint(D4,G4,B4,C4,E4,F4,M4,I4,A4,H4,K4,J4,P4,Q4*100,R4*100,S4*100,TerHandler,TerDirectory)</f>
        <v>247.81390859953319</v>
      </c>
      <c r="AA4" s="23">
        <f>_xll.ITMArea(D4,G4,N4,O4,W4,L4,M4,I4,A4,H4,K4,J4,P4,Q4*100,R4*100,S4*100)</f>
        <v>210.22674503575132</v>
      </c>
      <c r="AB4" s="23">
        <f>_xll.P528_5(W4,MIN(D4,G4),MAX(D4,G4),A4,H4,Q4*100)</f>
        <v>201.74436882882611</v>
      </c>
      <c r="AC4" s="23">
        <f>_xll.P676_SpecificAttenuation_dB(A4/1000,T4,U4,V4,W4)</f>
        <v>1.1280677803367003</v>
      </c>
    </row>
    <row r="5" spans="1:35" x14ac:dyDescent="0.25">
      <c r="A5" s="2">
        <v>7600</v>
      </c>
      <c r="B5" s="2">
        <v>39.566355999999999</v>
      </c>
      <c r="C5" s="2">
        <v>-77.013035000000002</v>
      </c>
      <c r="D5" s="2">
        <v>50</v>
      </c>
      <c r="E5" s="2">
        <v>39.634782999999999</v>
      </c>
      <c r="F5" s="2">
        <v>-78.231067999999993</v>
      </c>
      <c r="G5" s="2">
        <v>10</v>
      </c>
      <c r="H5" s="2">
        <v>1</v>
      </c>
      <c r="I5" s="2">
        <v>301</v>
      </c>
      <c r="J5" s="2">
        <v>5.0000000000000001E-3</v>
      </c>
      <c r="K5" s="2">
        <v>15</v>
      </c>
      <c r="L5" s="2">
        <v>90</v>
      </c>
      <c r="M5" s="2">
        <v>5</v>
      </c>
      <c r="N5" s="2">
        <v>2</v>
      </c>
      <c r="O5" s="2">
        <v>2</v>
      </c>
      <c r="P5" s="2">
        <v>0</v>
      </c>
      <c r="Q5" s="3">
        <v>0.5</v>
      </c>
      <c r="R5" s="3">
        <v>0.5</v>
      </c>
      <c r="S5" s="3">
        <v>0.5</v>
      </c>
      <c r="T5" s="23">
        <f>_xll.Celsius_to_Kelvin(15)</f>
        <v>288.14999999999998</v>
      </c>
      <c r="U5" s="23">
        <f>_xll.gpm3_to_hPa(7.5,T5)</f>
        <v>9.9728887863405635</v>
      </c>
      <c r="V5" s="2">
        <v>1013.25</v>
      </c>
      <c r="W5" s="23">
        <f>_xll.DistKm(B5,C5,E5,F5)</f>
        <v>104.89071248171258</v>
      </c>
      <c r="X5" s="23" t="b">
        <f>_xll.IsLOS(B5,C5,E5,F5,D5,G5,1,TerDirectory)</f>
        <v>0</v>
      </c>
      <c r="Y5" s="23">
        <f>_xll.FreeSpace(W5,A5)</f>
        <v>150.48101255390816</v>
      </c>
      <c r="Z5" s="23">
        <f>_xll.ITMPointToPoint(D5,G5,B5,C5,E5,F5,M5,I5,A5,H5,K5,J5,P5,Q5*100,R5*100,S5*100,TerHandler,TerDirectory)</f>
        <v>248.46459419519601</v>
      </c>
      <c r="AA5" s="23">
        <f>_xll.ITMArea(D5,G5,N5,O5,W5,L5,M5,I5,A5,H5,K5,J5,P5,Q5*100,R5*100,S5*100)</f>
        <v>210.56824850094489</v>
      </c>
      <c r="AB5" s="23">
        <f>_xll.P528_5(W5,MIN(D5,G5),MAX(D5,G5),A5,H5,Q5*100)</f>
        <v>202.09473080295425</v>
      </c>
      <c r="AC5" s="23">
        <f>_xll.P676_SpecificAttenuation_dB(A5/1000,T5,U5,V5,W5)</f>
        <v>1.1503823038844661</v>
      </c>
    </row>
    <row r="6" spans="1:35" x14ac:dyDescent="0.25">
      <c r="A6" s="2">
        <v>7800</v>
      </c>
      <c r="B6" s="2">
        <v>39.566355999999999</v>
      </c>
      <c r="C6" s="2">
        <v>-77.013035000000002</v>
      </c>
      <c r="D6" s="2">
        <v>50</v>
      </c>
      <c r="E6" s="2">
        <v>39.634782999999999</v>
      </c>
      <c r="F6" s="2">
        <v>-78.231067999999993</v>
      </c>
      <c r="G6" s="2">
        <v>10</v>
      </c>
      <c r="H6" s="2">
        <v>1</v>
      </c>
      <c r="I6" s="2">
        <v>301</v>
      </c>
      <c r="J6" s="2">
        <v>5.0000000000000001E-3</v>
      </c>
      <c r="K6" s="2">
        <v>15</v>
      </c>
      <c r="L6" s="2">
        <v>90</v>
      </c>
      <c r="M6" s="2">
        <v>5</v>
      </c>
      <c r="N6" s="2">
        <v>2</v>
      </c>
      <c r="O6" s="2">
        <v>2</v>
      </c>
      <c r="P6" s="2">
        <v>0</v>
      </c>
      <c r="Q6" s="3">
        <v>0.5</v>
      </c>
      <c r="R6" s="3">
        <v>0.5</v>
      </c>
      <c r="S6" s="3">
        <v>0.5</v>
      </c>
      <c r="T6" s="23">
        <f>_xll.Celsius_to_Kelvin(15)</f>
        <v>288.14999999999998</v>
      </c>
      <c r="U6" s="23">
        <f>_xll.gpm3_to_hPa(7.5,T6)</f>
        <v>9.9728887863405635</v>
      </c>
      <c r="V6" s="2">
        <v>1013.25</v>
      </c>
      <c r="W6" s="23">
        <f>_xll.DistKm(B6,C6,E6,F6)</f>
        <v>104.89071248171258</v>
      </c>
      <c r="X6" s="23" t="b">
        <f>_xll.IsLOS(B6,C6,E6,F6,D6,G6,1,TerDirectory)</f>
        <v>0</v>
      </c>
      <c r="Y6" s="23">
        <f>_xll.FreeSpace(W6,A6)</f>
        <v>150.70663276210195</v>
      </c>
      <c r="Z6" s="23">
        <f>_xll.ITMPointToPoint(D6,G6,B6,C6,E6,F6,M6,I6,A6,H6,K6,J6,P6,Q6*100,R6*100,S6*100,TerHandler,TerDirectory)</f>
        <v>249.09955255980461</v>
      </c>
      <c r="AA6" s="23">
        <f>_xll.ITMArea(D6,G6,N6,O6,W6,L6,M6,I6,A6,H6,K6,J6,P6,Q6*100,R6*100,S6*100)</f>
        <v>210.90096703099209</v>
      </c>
      <c r="AB6" s="23">
        <f>_xll.P528_5(W6,MIN(D6,G6),MAX(D6,G6),A6,H6,Q6*100)</f>
        <v>202.43775009526331</v>
      </c>
      <c r="AC6" s="23">
        <f>_xll.P676_SpecificAttenuation_dB(A6/1000,T6,U6,V6,W6)</f>
        <v>1.1734919908906527</v>
      </c>
    </row>
    <row r="7" spans="1:35" x14ac:dyDescent="0.25">
      <c r="Q7" s="8"/>
      <c r="R7" s="8"/>
      <c r="S7" s="8"/>
      <c r="X7" s="17" t="s">
        <v>205</v>
      </c>
      <c r="Z7" s="28">
        <v>0</v>
      </c>
    </row>
    <row r="8" spans="1:35" x14ac:dyDescent="0.25">
      <c r="Q8" s="8"/>
      <c r="R8" s="8"/>
      <c r="S8" s="8"/>
      <c r="X8" s="17" t="s">
        <v>206</v>
      </c>
      <c r="Z8" s="37" t="s">
        <v>207</v>
      </c>
      <c r="AA8" s="37"/>
      <c r="AB8" s="37"/>
      <c r="AC8" s="37"/>
      <c r="AD8" s="37"/>
      <c r="AE8" s="37"/>
      <c r="AF8" s="37"/>
      <c r="AG8" s="37"/>
      <c r="AH8" s="37"/>
      <c r="AI8" s="37"/>
    </row>
    <row r="9" spans="1:35" x14ac:dyDescent="0.25">
      <c r="Q9" s="8"/>
      <c r="R9" s="8"/>
      <c r="S9" s="8"/>
    </row>
    <row r="10" spans="1:35" x14ac:dyDescent="0.25">
      <c r="Q10" s="8"/>
      <c r="R10" s="8"/>
      <c r="S10" s="8"/>
    </row>
    <row r="11" spans="1:35" x14ac:dyDescent="0.25">
      <c r="Q11" s="8"/>
      <c r="R11" s="8"/>
      <c r="S11" s="8"/>
    </row>
    <row r="12" spans="1:35" x14ac:dyDescent="0.25">
      <c r="A12" s="38" t="s">
        <v>98</v>
      </c>
      <c r="B12" s="38"/>
      <c r="C12" s="38"/>
      <c r="D12" s="38"/>
      <c r="E12" s="38"/>
      <c r="F12" s="38" t="s">
        <v>99</v>
      </c>
      <c r="G12" s="38"/>
      <c r="H12" s="38"/>
      <c r="I12" s="38"/>
      <c r="J12" s="38"/>
      <c r="M12" s="39" t="s">
        <v>101</v>
      </c>
      <c r="N12" s="39"/>
      <c r="O12" s="39" t="s">
        <v>102</v>
      </c>
      <c r="P12" s="39"/>
      <c r="Q12" s="39"/>
      <c r="R12" s="40" t="s">
        <v>109</v>
      </c>
      <c r="S12" s="40"/>
      <c r="T12" s="40"/>
      <c r="U12" s="40"/>
      <c r="V12" s="40"/>
      <c r="W12" s="40"/>
    </row>
    <row r="13" spans="1:35" ht="45" x14ac:dyDescent="0.25">
      <c r="A13" s="9" t="s">
        <v>17</v>
      </c>
      <c r="B13" s="9" t="s">
        <v>94</v>
      </c>
      <c r="C13" s="9" t="s">
        <v>95</v>
      </c>
      <c r="D13" s="9" t="s">
        <v>96</v>
      </c>
      <c r="E13" s="9" t="s">
        <v>97</v>
      </c>
      <c r="F13" s="9" t="s">
        <v>17</v>
      </c>
      <c r="G13" s="9" t="s">
        <v>94</v>
      </c>
      <c r="H13" s="9" t="s">
        <v>95</v>
      </c>
      <c r="I13" s="9" t="s">
        <v>96</v>
      </c>
      <c r="J13" s="9" t="s">
        <v>97</v>
      </c>
      <c r="K13" s="9" t="s">
        <v>100</v>
      </c>
      <c r="M13" s="10" t="s">
        <v>81</v>
      </c>
      <c r="N13" s="10" t="s">
        <v>82</v>
      </c>
      <c r="O13" s="10" t="s">
        <v>81</v>
      </c>
      <c r="P13" s="10" t="s">
        <v>82</v>
      </c>
      <c r="Q13" s="11" t="s">
        <v>103</v>
      </c>
      <c r="R13" s="11" t="s">
        <v>104</v>
      </c>
      <c r="S13" s="11" t="s">
        <v>105</v>
      </c>
      <c r="T13" s="11" t="s">
        <v>106</v>
      </c>
      <c r="U13" s="11" t="s">
        <v>107</v>
      </c>
      <c r="V13" s="11" t="s">
        <v>108</v>
      </c>
      <c r="W13" s="11" t="s">
        <v>110</v>
      </c>
      <c r="AA13" s="51" t="s">
        <v>244</v>
      </c>
    </row>
    <row r="14" spans="1:35" x14ac:dyDescent="0.25">
      <c r="A14" s="2">
        <v>7125</v>
      </c>
      <c r="B14" s="2">
        <v>0.4</v>
      </c>
      <c r="C14" s="2">
        <v>0.8</v>
      </c>
      <c r="D14" s="2">
        <v>1.6</v>
      </c>
      <c r="E14" s="2">
        <v>3</v>
      </c>
      <c r="F14" s="2">
        <v>7126</v>
      </c>
      <c r="G14" s="2">
        <v>0.4</v>
      </c>
      <c r="H14" s="2">
        <v>0.8</v>
      </c>
      <c r="I14" s="2">
        <v>1.6</v>
      </c>
      <c r="J14" s="2">
        <v>3</v>
      </c>
      <c r="K14" s="23">
        <f>_xll.FDR_Stairs_3_20_40_60_dB(B14,C14,D14,E14,G14,H14,I14,J14,A14,F14)</f>
        <v>6.6280214362000329</v>
      </c>
      <c r="M14" s="2">
        <v>37.42</v>
      </c>
      <c r="N14" s="2">
        <v>-78</v>
      </c>
      <c r="O14" s="2">
        <v>0</v>
      </c>
      <c r="P14" s="2">
        <v>0</v>
      </c>
      <c r="Q14" s="2">
        <v>35887</v>
      </c>
      <c r="R14" s="23">
        <f>_xll.SatAz(M14,N14,O14,P14,Q14,0)</f>
        <v>8.679000600046443</v>
      </c>
      <c r="S14" s="23">
        <f>_xll.SatAz(M14,N14,O14,P14,Q14,1)</f>
        <v>41689.597238153408</v>
      </c>
      <c r="T14" s="23">
        <f>_xll.SatAz(M14,N14,O14,P14,Q14,2)</f>
        <v>97.359615358931151</v>
      </c>
      <c r="U14" s="23">
        <f>_xll.SatAz(M14,N14,O14,P14,Q14,3)</f>
        <v>0.82543716113656984</v>
      </c>
      <c r="V14" s="23">
        <f>_xll.SatAz(M14,N14,O14,P14,Q14,4)</f>
        <v>13.318849480844628</v>
      </c>
      <c r="W14" s="23" t="b">
        <f>IF(_xll.SatAz(M14,N14,O14,P14,Q14,5)=0,TRUE,FALSE)</f>
        <v>0</v>
      </c>
      <c r="AA14" s="17" t="s">
        <v>245</v>
      </c>
    </row>
    <row r="15" spans="1:35" ht="16.5" x14ac:dyDescent="0.3">
      <c r="Q15" s="8"/>
      <c r="R15" s="8"/>
      <c r="S15" s="8"/>
      <c r="AA15" s="50" t="s">
        <v>248</v>
      </c>
    </row>
    <row r="16" spans="1:35" x14ac:dyDescent="0.25">
      <c r="Q16" s="8"/>
      <c r="R16" s="8"/>
      <c r="S16" s="8"/>
      <c r="AA16" t="s">
        <v>247</v>
      </c>
    </row>
    <row r="17" spans="1:27" x14ac:dyDescent="0.25">
      <c r="Q17" s="8"/>
      <c r="R17" s="8"/>
      <c r="S17" s="8"/>
      <c r="AA17" t="s">
        <v>246</v>
      </c>
    </row>
    <row r="18" spans="1:27" x14ac:dyDescent="0.25">
      <c r="Q18" s="8"/>
      <c r="R18" s="8"/>
      <c r="S18" s="8"/>
    </row>
    <row r="19" spans="1:27" x14ac:dyDescent="0.25">
      <c r="Q19" s="8"/>
      <c r="R19" s="8"/>
      <c r="S19" s="8"/>
      <c r="AA19" s="17" t="s">
        <v>92</v>
      </c>
    </row>
    <row r="20" spans="1:27" x14ac:dyDescent="0.25">
      <c r="Q20" s="8"/>
      <c r="R20" s="8"/>
      <c r="S20" s="8"/>
      <c r="AA20" t="s">
        <v>249</v>
      </c>
    </row>
    <row r="21" spans="1:27" x14ac:dyDescent="0.25">
      <c r="AA21" t="s">
        <v>250</v>
      </c>
    </row>
    <row r="22" spans="1:27" x14ac:dyDescent="0.25">
      <c r="A22" s="4" t="s">
        <v>21</v>
      </c>
      <c r="B22" s="4" t="s">
        <v>22</v>
      </c>
      <c r="M22" s="4" t="s">
        <v>24</v>
      </c>
      <c r="N22" s="4" t="s">
        <v>23</v>
      </c>
      <c r="AA22" t="s">
        <v>251</v>
      </c>
    </row>
    <row r="23" spans="1:27" x14ac:dyDescent="0.25">
      <c r="A23" s="2">
        <v>50</v>
      </c>
      <c r="B23" s="23">
        <f>_xll.ITMArea($D$3,$G$3,$N$3,$O$3,A23,$L$3,$M$3,$I$3,$A$3,$H$3,$K$3,$J$3,$P$3,$Q$3*100,$R$3*100,$S$3*100)</f>
        <v>176.35416608939531</v>
      </c>
      <c r="M23" s="2">
        <f>A3</f>
        <v>8000</v>
      </c>
      <c r="N23" s="23">
        <f>_xll.ITMPointToPoint($D$3,$G$3,$B$3,$C$3,$E$3,$F$3,$M$3,$I$3,M23,$H$3,$K$3,$J$3,$P$3,$Q$3*100,$R$3*100,$S$3*100,TerHandler,TerDirectory)</f>
        <v>135.42766979138744</v>
      </c>
    </row>
    <row r="24" spans="1:27" x14ac:dyDescent="0.25">
      <c r="A24" s="2">
        <v>60</v>
      </c>
      <c r="B24" s="23">
        <f>_xll.ITMArea($D$3,$G$3,$N$3,$O$3,A24,$L$3,$M$3,$I$3,$A$3,$H$3,$K$3,$J$3,$P$3,$Q$3*100,$R$3*100,$S$3*100)</f>
        <v>186.87976908830476</v>
      </c>
      <c r="M24" s="2">
        <f>M23+500</f>
        <v>8500</v>
      </c>
      <c r="N24" s="23">
        <f>_xll.ITMPointToPoint($D$3,$G$3,$B$3,$C$3,$E$3,$F$3,$M$3,$I$3,M24,$H$3,$K$3,$J$3,$P$3,$Q$3*100,$R$3*100,$S$3*100,TerHandler,TerDirectory)</f>
        <v>135.95371367721219</v>
      </c>
      <c r="AA24" s="17" t="s">
        <v>122</v>
      </c>
    </row>
    <row r="25" spans="1:27" x14ac:dyDescent="0.25">
      <c r="A25" s="2">
        <v>70</v>
      </c>
      <c r="B25" s="23">
        <f>_xll.ITMArea($D$3,$G$3,$N$3,$O$3,A25,$L$3,$M$3,$I$3,$A$3,$H$3,$K$3,$J$3,$P$3,$Q$3*100,$R$3*100,$S$3*100)</f>
        <v>197.24551913339644</v>
      </c>
      <c r="M25" s="2">
        <f t="shared" ref="M25:M38" si="0">M24+500</f>
        <v>9000</v>
      </c>
      <c r="N25" s="23">
        <f>_xll.ITMPointToPoint($D$3,$G$3,$B$3,$C$3,$E$3,$F$3,$M$3,$I$3,M25,$H$3,$K$3,$J$3,$P$3,$Q$3*100,$R$3*100,$S$3*100,TerHandler,TerDirectory)</f>
        <v>136.44968437376377</v>
      </c>
      <c r="AA25" t="s">
        <v>252</v>
      </c>
    </row>
    <row r="26" spans="1:27" x14ac:dyDescent="0.25">
      <c r="A26" s="2">
        <v>80</v>
      </c>
      <c r="B26" s="23">
        <f>_xll.ITMArea($D$3,$G$3,$N$3,$O$3,A26,$L$3,$M$3,$I$3,$A$3,$H$3,$K$3,$J$3,$P$3,$Q$3*100,$R$3*100,$S$3*100)</f>
        <v>207.52789850239242</v>
      </c>
      <c r="M26" s="2">
        <f t="shared" si="0"/>
        <v>9500</v>
      </c>
      <c r="N26" s="23">
        <f>_xll.ITMPointToPoint($D$3,$G$3,$B$3,$C$3,$E$3,$F$3,$M$3,$I$3,M26,$H$3,$K$3,$J$3,$P$3,$Q$3*100,$R$3*100,$S$3*100,TerHandler,TerDirectory)</f>
        <v>136.91883544733909</v>
      </c>
      <c r="AA26" t="s">
        <v>253</v>
      </c>
    </row>
    <row r="27" spans="1:27" x14ac:dyDescent="0.25">
      <c r="A27" s="2">
        <v>90</v>
      </c>
      <c r="B27" s="23">
        <f>_xll.ITMArea($D$3,$G$3,$N$3,$O$3,A27,$L$3,$M$3,$I$3,$A$3,$H$3,$K$3,$J$3,$P$3,$Q$3*100,$R$3*100,$S$3*100)</f>
        <v>209.4443793957183</v>
      </c>
      <c r="M27" s="2">
        <f t="shared" si="0"/>
        <v>10000</v>
      </c>
      <c r="N27" s="23">
        <f>_xll.ITMPointToPoint($D$3,$G$3,$B$3,$C$3,$E$3,$F$3,$M$3,$I$3,M27,$H$3,$K$3,$J$3,$P$3,$Q$3*100,$R$3*100,$S$3*100,TerHandler,TerDirectory)</f>
        <v>137.36391944334778</v>
      </c>
      <c r="AA27" t="s">
        <v>254</v>
      </c>
    </row>
    <row r="28" spans="1:27" x14ac:dyDescent="0.25">
      <c r="A28" s="2">
        <v>100</v>
      </c>
      <c r="B28" s="23">
        <f>_xll.ITMArea($D$3,$G$3,$N$3,$O$3,A28,$L$3,$M$3,$I$3,$A$3,$H$3,$K$3,$J$3,$P$3,$Q$3*100,$R$3*100,$S$3*100)</f>
        <v>210.66103070828476</v>
      </c>
      <c r="M28" s="2">
        <f t="shared" si="0"/>
        <v>10500</v>
      </c>
      <c r="N28" s="23">
        <f>_xll.ITMPointToPoint($D$3,$G$3,$B$3,$C$3,$E$3,$F$3,$M$3,$I$3,M28,$H$3,$K$3,$J$3,$P$3,$Q$3*100,$R$3*100,$S$3*100,TerHandler,TerDirectory)</f>
        <v>137.78728575442187</v>
      </c>
    </row>
    <row r="29" spans="1:27" x14ac:dyDescent="0.25">
      <c r="A29" s="2">
        <v>110</v>
      </c>
      <c r="B29" s="23">
        <f>_xll.ITMArea($D$3,$G$3,$N$3,$O$3,A29,$L$3,$M$3,$I$3,$A$3,$H$3,$K$3,$J$3,$P$3,$Q$3*100,$R$3*100,$S$3*100)</f>
        <v>211.79807317762641</v>
      </c>
      <c r="M29" s="2">
        <f t="shared" si="0"/>
        <v>11000</v>
      </c>
      <c r="N29" s="23">
        <f>_xll.ITMPointToPoint($D$3,$G$3,$B$3,$C$3,$E$3,$F$3,$M$3,$I$3,M29,$H$3,$K$3,$J$3,$P$3,$Q$3*100,$R$3*100,$S$3*100,TerHandler,TerDirectory)</f>
        <v>138.1909557003485</v>
      </c>
    </row>
    <row r="30" spans="1:27" x14ac:dyDescent="0.25">
      <c r="A30" s="2">
        <v>120</v>
      </c>
      <c r="B30" s="23">
        <f>_xll.ITMArea($D$3,$G$3,$N$3,$O$3,A30,$L$3,$M$3,$I$3,$A$3,$H$3,$K$3,$J$3,$P$3,$Q$3*100,$R$3*100,$S$3*100)</f>
        <v>212.88192518947073</v>
      </c>
      <c r="M30" s="2">
        <f t="shared" si="0"/>
        <v>11500</v>
      </c>
      <c r="N30" s="23">
        <f>_xll.ITMPointToPoint($D$3,$G$3,$B$3,$C$3,$E$3,$F$3,$M$3,$I$3,M30,$H$3,$K$3,$J$3,$P$3,$Q$3*100,$R$3*100,$S$3*100,TerHandler,TerDirectory)</f>
        <v>138.57668090486609</v>
      </c>
    </row>
    <row r="31" spans="1:27" x14ac:dyDescent="0.25">
      <c r="A31" s="2">
        <v>130</v>
      </c>
      <c r="B31" s="23">
        <f>_xll.ITMArea($D$3,$G$3,$N$3,$O$3,A31,$L$3,$M$3,$I$3,$A$3,$H$3,$K$3,$J$3,$P$3,$Q$3*100,$R$3*100,$S$3*100)</f>
        <v>213.93526701187233</v>
      </c>
      <c r="M31" s="2">
        <f t="shared" si="0"/>
        <v>12000</v>
      </c>
      <c r="N31" s="23">
        <f>_xll.ITMPointToPoint($D$3,$G$3,$B$3,$C$3,$E$3,$F$3,$M$3,$I$3,M31,$H$3,$K$3,$J$3,$P$3,$Q$3*100,$R$3*100,$S$3*100,TerHandler,TerDirectory)</f>
        <v>138.94598923918485</v>
      </c>
    </row>
    <row r="32" spans="1:27" x14ac:dyDescent="0.25">
      <c r="A32" s="2">
        <v>140</v>
      </c>
      <c r="B32" s="23">
        <f>_xll.ITMArea($D$3,$G$3,$N$3,$O$3,A32,$L$3,$M$3,$I$3,$A$3,$H$3,$K$3,$J$3,$P$3,$Q$3*100,$R$3*100,$S$3*100)</f>
        <v>214.9770617162292</v>
      </c>
      <c r="M32" s="2">
        <f t="shared" si="0"/>
        <v>12500</v>
      </c>
      <c r="N32" s="23">
        <f>_xll.ITMPointToPoint($D$3,$G$3,$B$3,$C$3,$E$3,$F$3,$M$3,$I$3,M32,$H$3,$K$3,$J$3,$P$3,$Q$3*100,$R$3*100,$S$3*100,TerHandler,TerDirectory)</f>
        <v>139.30022138052666</v>
      </c>
    </row>
    <row r="33" spans="1:14" x14ac:dyDescent="0.25">
      <c r="A33" s="2">
        <v>150</v>
      </c>
      <c r="B33" s="23">
        <f>_xll.ITMArea($D$3,$G$3,$N$3,$O$3,A33,$L$3,$M$3,$I$3,$A$3,$H$3,$K$3,$J$3,$P$3,$Q$3*100,$R$3*100,$S$3*100)</f>
        <v>216.02224872255118</v>
      </c>
      <c r="M33" s="2">
        <f t="shared" si="0"/>
        <v>13000</v>
      </c>
      <c r="N33" s="23">
        <f>_xll.ITMPointToPoint($D$3,$G$3,$B$3,$C$3,$E$3,$F$3,$M$3,$I$3,M33,$H$3,$K$3,$J$3,$P$3,$Q$3*100,$R$3*100,$S$3*100,TerHandler,TerDirectory)</f>
        <v>139.64056019618354</v>
      </c>
    </row>
    <row r="34" spans="1:14" x14ac:dyDescent="0.25">
      <c r="A34" s="2">
        <v>160</v>
      </c>
      <c r="B34" s="23">
        <f>_xll.ITMArea($D$3,$G$3,$N$3,$O$3,A34,$L$3,$M$3,$I$3,$A$3,$H$3,$K$3,$J$3,$P$3,$Q$3*100,$R$3*100,$S$3*100)</f>
        <v>217.08146223455873</v>
      </c>
      <c r="M34" s="2">
        <f t="shared" si="0"/>
        <v>13500</v>
      </c>
      <c r="N34" s="23">
        <f>_xll.ITMPointToPoint($D$3,$G$3,$B$3,$C$3,$E$3,$F$3,$M$3,$I$3,M34,$H$3,$K$3,$J$3,$P$3,$Q$3*100,$R$3*100,$S$3*100,TerHandler,TerDirectory)</f>
        <v>139.96805457904148</v>
      </c>
    </row>
    <row r="35" spans="1:14" x14ac:dyDescent="0.25">
      <c r="A35" s="2">
        <v>170</v>
      </c>
      <c r="B35" s="23">
        <f>_xll.ITMArea($D$3,$G$3,$N$3,$O$3,A35,$L$3,$M$3,$I$3,$A$3,$H$3,$K$3,$J$3,$P$3,$Q$3*100,$R$3*100,$S$3*100)</f>
        <v>218.16101303187853</v>
      </c>
      <c r="M35" s="2">
        <f t="shared" si="0"/>
        <v>14000</v>
      </c>
      <c r="N35" s="23">
        <f>_xll.ITMPointToPoint($D$3,$G$3,$B$3,$C$3,$E$3,$F$3,$M$3,$I$3,M35,$H$3,$K$3,$J$3,$P$3,$Q$3*100,$R$3*100,$S$3*100,TerHandler,TerDirectory)</f>
        <v>140.2836389462158</v>
      </c>
    </row>
    <row r="36" spans="1:14" x14ac:dyDescent="0.25">
      <c r="A36" s="2">
        <v>180</v>
      </c>
      <c r="B36" s="23">
        <f>_xll.ITMArea($D$3,$G$3,$N$3,$O$3,A36,$L$3,$M$3,$I$3,$A$3,$H$3,$K$3,$J$3,$P$3,$Q$3*100,$R$3*100,$S$3*100)</f>
        <v>219.26323500631244</v>
      </c>
      <c r="M36" s="2">
        <f t="shared" si="0"/>
        <v>14500</v>
      </c>
      <c r="N36" s="23">
        <f>_xll.ITMPointToPoint($D$3,$G$3,$B$3,$C$3,$E$3,$F$3,$M$3,$I$3,M36,$H$3,$K$3,$J$3,$P$3,$Q$3*100,$R$3*100,$S$3*100,TerHandler,TerDirectory)</f>
        <v>140.58814931456496</v>
      </c>
    </row>
    <row r="37" spans="1:14" x14ac:dyDescent="0.25">
      <c r="A37" s="2">
        <v>190</v>
      </c>
      <c r="B37" s="23">
        <f>_xll.ITMArea($D$3,$G$3,$N$3,$O$3,A37,$L$3,$M$3,$I$3,$A$3,$H$3,$K$3,$J$3,$P$3,$Q$3*100,$R$3*100,$S$3*100)</f>
        <v>220.3871640114109</v>
      </c>
      <c r="M37" s="2">
        <f t="shared" si="0"/>
        <v>15000</v>
      </c>
      <c r="N37" s="23">
        <f>_xll.ITMPointToPoint($D$3,$G$3,$B$3,$C$3,$E$3,$F$3,$M$3,$I$3,M37,$H$3,$K$3,$J$3,$P$3,$Q$3*100,$R$3*100,$S$3*100,TerHandler,TerDirectory)</f>
        <v>140.88233664983366</v>
      </c>
    </row>
    <row r="38" spans="1:14" x14ac:dyDescent="0.25">
      <c r="A38" s="2">
        <v>200</v>
      </c>
      <c r="B38" s="23">
        <f>_xll.ITMArea($D$3,$G$3,$N$3,$O$3,A38,$L$3,$M$3,$I$3,$A$3,$H$3,$K$3,$J$3,$P$3,$Q$3*100,$R$3*100,$S$3*100)</f>
        <v>221.52942277502015</v>
      </c>
      <c r="M38" s="2">
        <f t="shared" si="0"/>
        <v>15500</v>
      </c>
      <c r="N38" s="23">
        <f>_xll.ITMPointToPoint($D$3,$G$3,$B$3,$C$3,$E$3,$F$3,$M$3,$I$3,M38,$H$3,$K$3,$J$3,$P$3,$Q$3*100,$R$3*100,$S$3*100,TerHandler,TerDirectory)</f>
        <v>141.16687802613515</v>
      </c>
    </row>
  </sheetData>
  <mergeCells count="6">
    <mergeCell ref="Z8:AI8"/>
    <mergeCell ref="A12:E12"/>
    <mergeCell ref="F12:J12"/>
    <mergeCell ref="M12:N12"/>
    <mergeCell ref="O12:Q12"/>
    <mergeCell ref="R12:W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F99E-3E17-49E1-9C91-44E97FB772F4}">
  <dimension ref="B1:I32"/>
  <sheetViews>
    <sheetView workbookViewId="0">
      <selection activeCell="B1" sqref="B1:I1"/>
    </sheetView>
  </sheetViews>
  <sheetFormatPr defaultRowHeight="15" x14ac:dyDescent="0.25"/>
  <cols>
    <col min="2" max="2" width="26.140625" bestFit="1" customWidth="1"/>
    <col min="3" max="3" width="15.42578125" customWidth="1"/>
    <col min="7" max="7" width="23.28515625" bestFit="1" customWidth="1"/>
    <col min="9" max="9" width="9.7109375" bestFit="1" customWidth="1"/>
  </cols>
  <sheetData>
    <row r="1" spans="2:9" ht="18.75" x14ac:dyDescent="0.3">
      <c r="B1" s="32" t="s">
        <v>208</v>
      </c>
      <c r="C1" s="32"/>
      <c r="D1" s="32"/>
      <c r="E1" s="32"/>
      <c r="F1" s="32"/>
      <c r="G1" s="32"/>
      <c r="H1" s="32"/>
      <c r="I1" s="32"/>
    </row>
    <row r="3" spans="2:9" x14ac:dyDescent="0.25">
      <c r="B3" s="33" t="s">
        <v>209</v>
      </c>
      <c r="C3" s="33"/>
      <c r="D3" s="33"/>
      <c r="G3" s="33" t="s">
        <v>210</v>
      </c>
      <c r="H3" s="33"/>
      <c r="I3" s="33"/>
    </row>
    <row r="4" spans="2:9" x14ac:dyDescent="0.25">
      <c r="B4" s="48" t="s">
        <v>211</v>
      </c>
      <c r="C4" s="23">
        <v>800</v>
      </c>
      <c r="D4" s="48" t="s">
        <v>212</v>
      </c>
      <c r="G4" s="48" t="s">
        <v>213</v>
      </c>
      <c r="H4" s="49" cm="1">
        <f t="array" ref="H4">_xll.OkumHataITU529(C4,C5,C6,C7,IF(C8="Urban",0,IF(C8="Suburban",1,2)),IF(C9="Small/Medium",0,1),C10,C11)</f>
        <v>149.65575310666375</v>
      </c>
      <c r="I4" s="48" t="s">
        <v>214</v>
      </c>
    </row>
    <row r="5" spans="2:9" x14ac:dyDescent="0.25">
      <c r="B5" s="48" t="s">
        <v>215</v>
      </c>
      <c r="C5" s="23">
        <v>100</v>
      </c>
      <c r="D5" s="48" t="s">
        <v>216</v>
      </c>
      <c r="G5" s="48" t="s">
        <v>217</v>
      </c>
      <c r="H5" s="49" cm="1">
        <f t="array" ref="H5">_xll.OkumHataDavidson(C4,C5,C6,C7,IF(C8="Urban",0,IF(C8="Suburban",1,2)),IF(C9="Small/Medium",0,1),C10,C11)</f>
        <v>149.65575310666375</v>
      </c>
      <c r="I5" s="48" t="s">
        <v>214</v>
      </c>
    </row>
    <row r="6" spans="2:9" x14ac:dyDescent="0.25">
      <c r="B6" s="48" t="s">
        <v>218</v>
      </c>
      <c r="C6" s="23">
        <v>1.5</v>
      </c>
      <c r="D6" s="48" t="s">
        <v>216</v>
      </c>
      <c r="G6" s="48" t="s">
        <v>219</v>
      </c>
      <c r="H6" s="49" cm="1">
        <f t="array" ref="H6">_xll.Cost231(C4,C5,C6,C7,IF(C8="Urban",0,IF(C8="Suburban",1,2)),IF(C9="Small/Medium",0,1),C10,C11)</f>
        <v>151.86347246019758</v>
      </c>
      <c r="I6" s="48" t="s">
        <v>214</v>
      </c>
    </row>
    <row r="7" spans="2:9" x14ac:dyDescent="0.25">
      <c r="B7" s="48" t="s">
        <v>71</v>
      </c>
      <c r="C7" s="23">
        <v>10</v>
      </c>
      <c r="D7" s="48" t="s">
        <v>220</v>
      </c>
    </row>
    <row r="8" spans="2:9" x14ac:dyDescent="0.25">
      <c r="B8" s="48" t="s">
        <v>221</v>
      </c>
      <c r="C8" s="23" t="s">
        <v>222</v>
      </c>
      <c r="D8" s="48"/>
      <c r="G8" s="33" t="s">
        <v>223</v>
      </c>
      <c r="H8" s="33"/>
      <c r="I8" s="33"/>
    </row>
    <row r="9" spans="2:9" x14ac:dyDescent="0.25">
      <c r="B9" s="48" t="s">
        <v>224</v>
      </c>
      <c r="C9" s="23" t="s">
        <v>225</v>
      </c>
      <c r="D9" s="48"/>
      <c r="G9" s="48" t="s">
        <v>213</v>
      </c>
      <c r="H9" s="49" cm="1">
        <f t="array" ref="H9">_xll.OkumHata529FieldStrength(C4,C5,C6,C7,IF(C9="Small/Medium",0,1),IF(C8="Urban",0,IF(C8="Suburban",1,2)),C10,C11,C12)</f>
        <v>47.776046633175127</v>
      </c>
      <c r="I9" s="48" t="s">
        <v>226</v>
      </c>
    </row>
    <row r="10" spans="2:9" x14ac:dyDescent="0.25">
      <c r="B10" s="48" t="s">
        <v>227</v>
      </c>
      <c r="C10" s="23">
        <v>50</v>
      </c>
      <c r="D10" s="48" t="s">
        <v>228</v>
      </c>
      <c r="G10" s="48" t="s">
        <v>217</v>
      </c>
      <c r="H10" s="49" cm="1">
        <f t="array" ref="H10">_xll.OkumHataDavidsonFieldStrength(C4,C5,C6,C7,IF(C9="Small/Medium",0,1),IF(C8="Urban",0,IF(C8="Suburban",1,2)),C10,C11,C12)</f>
        <v>47.766046633175137</v>
      </c>
      <c r="I10" s="48" t="s">
        <v>226</v>
      </c>
    </row>
    <row r="11" spans="2:9" x14ac:dyDescent="0.25">
      <c r="B11" s="48" t="s">
        <v>229</v>
      </c>
      <c r="C11" s="23">
        <v>50</v>
      </c>
      <c r="D11" s="48" t="s">
        <v>228</v>
      </c>
      <c r="G11" s="48" t="s">
        <v>219</v>
      </c>
      <c r="H11" s="49" cm="1">
        <f t="array" ref="H11">_xll.Cost231FieldStrength(C4,C5,C6,C7,IF(C9="Small/Medium",0,1),IF(C8="Urban",0,IF(C8="Suburban",1,2)),C10,C11,C12)</f>
        <v>45.558327279641254</v>
      </c>
      <c r="I11" s="48" t="s">
        <v>226</v>
      </c>
    </row>
    <row r="12" spans="2:9" x14ac:dyDescent="0.25">
      <c r="B12" s="48" t="s">
        <v>230</v>
      </c>
      <c r="C12" s="23">
        <v>1000</v>
      </c>
      <c r="D12" s="48" t="s">
        <v>231</v>
      </c>
    </row>
    <row r="14" spans="2:9" ht="15.75" x14ac:dyDescent="0.25">
      <c r="B14" s="31" t="s">
        <v>242</v>
      </c>
    </row>
    <row r="15" spans="2:9" x14ac:dyDescent="0.25">
      <c r="B15" s="17" t="s">
        <v>232</v>
      </c>
    </row>
    <row r="16" spans="2:9" x14ac:dyDescent="0.25">
      <c r="B16" s="17" t="s">
        <v>233</v>
      </c>
    </row>
    <row r="17" spans="2:6" x14ac:dyDescent="0.25">
      <c r="B17" s="17" t="s">
        <v>234</v>
      </c>
    </row>
    <row r="18" spans="2:6" x14ac:dyDescent="0.25">
      <c r="B18" s="17" t="s">
        <v>235</v>
      </c>
    </row>
    <row r="20" spans="2:6" ht="15.75" x14ac:dyDescent="0.25">
      <c r="B20" s="31" t="s">
        <v>240</v>
      </c>
    </row>
    <row r="21" spans="2:6" x14ac:dyDescent="0.25">
      <c r="B21" s="17" t="s">
        <v>236</v>
      </c>
    </row>
    <row r="22" spans="2:6" x14ac:dyDescent="0.25">
      <c r="B22" s="17" t="s">
        <v>233</v>
      </c>
    </row>
    <row r="23" spans="2:6" x14ac:dyDescent="0.25">
      <c r="B23" s="17" t="s">
        <v>234</v>
      </c>
    </row>
    <row r="24" spans="2:6" x14ac:dyDescent="0.25">
      <c r="B24" s="17" t="s">
        <v>237</v>
      </c>
    </row>
    <row r="26" spans="2:6" ht="15.75" x14ac:dyDescent="0.25">
      <c r="B26" s="31" t="s">
        <v>241</v>
      </c>
    </row>
    <row r="27" spans="2:6" x14ac:dyDescent="0.25">
      <c r="B27" s="17" t="s">
        <v>238</v>
      </c>
    </row>
    <row r="28" spans="2:6" x14ac:dyDescent="0.25">
      <c r="B28" s="17" t="s">
        <v>239</v>
      </c>
    </row>
    <row r="29" spans="2:6" x14ac:dyDescent="0.25">
      <c r="B29" s="17" t="s">
        <v>234</v>
      </c>
    </row>
    <row r="30" spans="2:6" x14ac:dyDescent="0.25">
      <c r="B30" s="17" t="s">
        <v>235</v>
      </c>
    </row>
    <row r="32" spans="2:6" ht="45.75" customHeight="1" x14ac:dyDescent="0.25">
      <c r="B32" s="34" t="s">
        <v>243</v>
      </c>
      <c r="C32" s="35"/>
      <c r="D32" s="35"/>
      <c r="E32" s="35"/>
      <c r="F32" s="36"/>
    </row>
  </sheetData>
  <mergeCells count="5">
    <mergeCell ref="B1:I1"/>
    <mergeCell ref="B3:D3"/>
    <mergeCell ref="G3:I3"/>
    <mergeCell ref="G8:I8"/>
    <mergeCell ref="B32:F32"/>
  </mergeCells>
  <dataValidations count="2">
    <dataValidation type="list" allowBlank="1" showInputMessage="1" showErrorMessage="1" sqref="C9" xr:uid="{B8706703-3002-4F7F-8B7D-6B9FC3EF3728}">
      <formula1>"Small/Medium,Large"</formula1>
    </dataValidation>
    <dataValidation type="list" allowBlank="1" showInputMessage="1" showErrorMessage="1" sqref="C8" xr:uid="{17CC1B1C-72F1-442B-A739-F2B19E228B28}">
      <formula1>"Urban,Suburban,Open"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C37"/>
  <sheetViews>
    <sheetView topLeftCell="A4" workbookViewId="0">
      <selection activeCell="P30" sqref="P30"/>
    </sheetView>
  </sheetViews>
  <sheetFormatPr defaultRowHeight="15" x14ac:dyDescent="0.25"/>
  <cols>
    <col min="1" max="1" width="19.140625" customWidth="1"/>
    <col min="2" max="6" width="10.42578125" customWidth="1"/>
    <col min="7" max="10" width="10.5703125" customWidth="1"/>
    <col min="11" max="11" width="13.140625" customWidth="1"/>
    <col min="12" max="12" width="10.5703125" customWidth="1"/>
    <col min="13" max="13" width="11.5703125" customWidth="1"/>
    <col min="14" max="14" width="11.42578125" customWidth="1"/>
    <col min="15" max="15" width="15" customWidth="1"/>
    <col min="16" max="16" width="16.28515625" customWidth="1"/>
    <col min="17" max="17" width="15.5703125" bestFit="1" customWidth="1"/>
  </cols>
  <sheetData>
    <row r="1" spans="1:29" x14ac:dyDescent="0.25">
      <c r="B1" s="38" t="s">
        <v>124</v>
      </c>
      <c r="C1" s="38"/>
      <c r="D1" s="38"/>
      <c r="E1" s="41" t="s">
        <v>125</v>
      </c>
      <c r="F1" s="42"/>
      <c r="G1" s="42"/>
    </row>
    <row r="2" spans="1:29" ht="60" x14ac:dyDescent="0.25">
      <c r="B2" s="13" t="s">
        <v>81</v>
      </c>
      <c r="C2" s="13" t="s">
        <v>82</v>
      </c>
      <c r="D2" s="13" t="s">
        <v>142</v>
      </c>
      <c r="E2" s="13" t="s">
        <v>81</v>
      </c>
      <c r="F2" s="13" t="s">
        <v>82</v>
      </c>
      <c r="G2" s="13" t="s">
        <v>142</v>
      </c>
      <c r="H2" s="13" t="s">
        <v>127</v>
      </c>
      <c r="I2" s="13" t="s">
        <v>126</v>
      </c>
      <c r="J2" s="13" t="s">
        <v>140</v>
      </c>
      <c r="K2" s="13" t="s">
        <v>128</v>
      </c>
      <c r="L2" s="13" t="s">
        <v>129</v>
      </c>
      <c r="M2" s="13" t="s">
        <v>141</v>
      </c>
      <c r="N2" s="13" t="s">
        <v>130</v>
      </c>
      <c r="O2" s="13" t="s">
        <v>131</v>
      </c>
      <c r="P2" s="13" t="s">
        <v>136</v>
      </c>
      <c r="Q2" s="13" t="s">
        <v>179</v>
      </c>
      <c r="R2" s="13" t="s">
        <v>180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</row>
    <row r="3" spans="1:29" x14ac:dyDescent="0.25">
      <c r="A3" s="16" t="s">
        <v>138</v>
      </c>
      <c r="B3" s="24">
        <f>_xll.GetLatitude(E3,F3,20,80)</f>
        <v>39.430778738197418</v>
      </c>
      <c r="C3" s="24">
        <f>_xll.GetLongitude(E3,F3,20,80)</f>
        <v>-77.408737187096492</v>
      </c>
      <c r="D3" s="14">
        <v>45.72</v>
      </c>
      <c r="E3" s="2">
        <f>_xll.DMS2DecDeg("392359N")</f>
        <v>39.399722222222223</v>
      </c>
      <c r="F3" s="2">
        <f>_xll.DMS2DecDeg("0773815W")</f>
        <v>-77.637500000000003</v>
      </c>
      <c r="G3" s="2">
        <v>45.72</v>
      </c>
      <c r="H3" s="2">
        <v>8000</v>
      </c>
      <c r="I3" s="2">
        <v>25</v>
      </c>
      <c r="J3" s="2">
        <v>-29.5</v>
      </c>
      <c r="K3" s="2">
        <v>33.5</v>
      </c>
      <c r="L3" s="2">
        <v>43</v>
      </c>
      <c r="M3" s="2">
        <v>3.5</v>
      </c>
      <c r="N3" s="15" t="s">
        <v>135</v>
      </c>
      <c r="O3" s="2">
        <v>4</v>
      </c>
      <c r="P3" s="2" t="s">
        <v>144</v>
      </c>
      <c r="Q3" s="23">
        <f>_xll.Bearing(E3,F3,B3,C3)</f>
        <v>79.999999999996078</v>
      </c>
      <c r="R3" s="2"/>
      <c r="S3" s="20">
        <v>301</v>
      </c>
      <c r="T3" s="2">
        <v>5.0000000000000001E-3</v>
      </c>
      <c r="U3" s="2">
        <v>15</v>
      </c>
      <c r="V3" s="2">
        <v>90</v>
      </c>
      <c r="W3" s="2">
        <v>5</v>
      </c>
      <c r="X3" s="2">
        <v>2</v>
      </c>
      <c r="Y3" s="2">
        <v>2</v>
      </c>
      <c r="Z3" s="2">
        <v>0</v>
      </c>
      <c r="AA3" s="3">
        <v>0.5</v>
      </c>
      <c r="AB3" s="3">
        <v>0.5</v>
      </c>
      <c r="AC3" s="3">
        <v>0.5</v>
      </c>
    </row>
    <row r="4" spans="1:29" x14ac:dyDescent="0.25">
      <c r="A4" s="16" t="s">
        <v>139</v>
      </c>
      <c r="B4" s="23">
        <f>_xll.DMS2DecDeg("392400N")</f>
        <v>39.4</v>
      </c>
      <c r="C4" s="23">
        <f>_xll.DMS2DecDeg("0772400W")</f>
        <v>-77.400000000000006</v>
      </c>
      <c r="D4" s="2">
        <v>45.72</v>
      </c>
      <c r="E4" s="24">
        <f>_xll.GetLatitude(B4,C4,20,275)</f>
        <v>39.415470445255202</v>
      </c>
      <c r="F4" s="24">
        <f>_xll.GetLongitude(B4,C4,20,275)</f>
        <v>-77.631357303040929</v>
      </c>
      <c r="G4" s="14">
        <v>45.72</v>
      </c>
      <c r="H4" s="14">
        <v>8000</v>
      </c>
      <c r="I4" s="14">
        <v>25</v>
      </c>
      <c r="J4" s="14">
        <v>-29.5</v>
      </c>
      <c r="K4" s="2">
        <v>33.5</v>
      </c>
      <c r="L4" s="2">
        <v>43</v>
      </c>
      <c r="M4" s="2">
        <v>3.5</v>
      </c>
      <c r="N4" s="15" t="s">
        <v>135</v>
      </c>
      <c r="O4" s="2">
        <v>3</v>
      </c>
      <c r="P4" s="2" t="s">
        <v>137</v>
      </c>
      <c r="Q4" s="23">
        <f>_xll.Bearing(B4,C4,E4,F4)</f>
        <v>274.9999999999921</v>
      </c>
      <c r="R4" s="23">
        <f>_xll.Delta_Bearing(Q4,Q3)</f>
        <v>165.00000000000398</v>
      </c>
    </row>
    <row r="6" spans="1:29" x14ac:dyDescent="0.25">
      <c r="L6" s="17" t="s">
        <v>158</v>
      </c>
    </row>
    <row r="7" spans="1:29" x14ac:dyDescent="0.25">
      <c r="A7" s="17" t="s">
        <v>143</v>
      </c>
      <c r="D7" t="s">
        <v>132</v>
      </c>
      <c r="E7">
        <f>_xll.Bearing(B4,C4,E3,F3)</f>
        <v>269.98900055432671</v>
      </c>
      <c r="F7" t="s">
        <v>134</v>
      </c>
      <c r="G7">
        <f>_xll.DistKm(E3,F3,B4,C4)</f>
        <v>20.457487034523673</v>
      </c>
      <c r="L7" t="s">
        <v>169</v>
      </c>
    </row>
    <row r="8" spans="1:29" x14ac:dyDescent="0.25">
      <c r="D8" t="s">
        <v>133</v>
      </c>
      <c r="E8">
        <f>_xll.Bearing(E3,F3,B4,C4)</f>
        <v>89.838252372907164</v>
      </c>
      <c r="L8" t="s">
        <v>170</v>
      </c>
    </row>
    <row r="9" spans="1:29" x14ac:dyDescent="0.25">
      <c r="N9" t="s">
        <v>149</v>
      </c>
    </row>
    <row r="10" spans="1:29" x14ac:dyDescent="0.25">
      <c r="K10" t="s">
        <v>196</v>
      </c>
      <c r="L10" t="s">
        <v>145</v>
      </c>
    </row>
    <row r="11" spans="1:29" x14ac:dyDescent="0.25">
      <c r="K11">
        <v>-29.5</v>
      </c>
      <c r="L11" t="s">
        <v>150</v>
      </c>
    </row>
    <row r="12" spans="1:29" x14ac:dyDescent="0.25">
      <c r="K12">
        <v>33.5</v>
      </c>
      <c r="L12" t="s">
        <v>151</v>
      </c>
    </row>
    <row r="13" spans="1:29" x14ac:dyDescent="0.25">
      <c r="K13">
        <v>16</v>
      </c>
      <c r="L13" t="s">
        <v>152</v>
      </c>
    </row>
    <row r="14" spans="1:29" x14ac:dyDescent="0.25">
      <c r="L14" t="s">
        <v>146</v>
      </c>
    </row>
    <row r="15" spans="1:29" x14ac:dyDescent="0.25">
      <c r="K15">
        <v>8</v>
      </c>
      <c r="L15" t="s">
        <v>153</v>
      </c>
    </row>
    <row r="16" spans="1:29" x14ac:dyDescent="0.25">
      <c r="L16" t="s">
        <v>147</v>
      </c>
    </row>
    <row r="17" spans="11:22" x14ac:dyDescent="0.25">
      <c r="L17" t="s">
        <v>154</v>
      </c>
    </row>
    <row r="18" spans="11:22" x14ac:dyDescent="0.25">
      <c r="K18">
        <v>0</v>
      </c>
      <c r="L18" t="s">
        <v>148</v>
      </c>
    </row>
    <row r="19" spans="11:22" x14ac:dyDescent="0.25">
      <c r="K19">
        <v>3</v>
      </c>
      <c r="L19" t="s">
        <v>155</v>
      </c>
    </row>
    <row r="20" spans="11:22" x14ac:dyDescent="0.25">
      <c r="K20">
        <v>4</v>
      </c>
      <c r="L20" t="s">
        <v>156</v>
      </c>
    </row>
    <row r="21" spans="11:22" x14ac:dyDescent="0.25">
      <c r="K21">
        <v>0</v>
      </c>
      <c r="L21" t="s">
        <v>157</v>
      </c>
    </row>
    <row r="24" spans="11:22" x14ac:dyDescent="0.25">
      <c r="K24" s="18" t="s">
        <v>177</v>
      </c>
      <c r="L24" s="18" t="s">
        <v>198</v>
      </c>
      <c r="M24" s="18" t="s">
        <v>159</v>
      </c>
      <c r="N24" s="18" t="s">
        <v>160</v>
      </c>
      <c r="O24" s="18" t="s">
        <v>161</v>
      </c>
      <c r="P24" s="18" t="s">
        <v>162</v>
      </c>
      <c r="Q24" s="18" t="s">
        <v>163</v>
      </c>
      <c r="R24" s="18" t="s">
        <v>164</v>
      </c>
      <c r="S24" s="18" t="s">
        <v>100</v>
      </c>
      <c r="T24" s="18" t="s">
        <v>165</v>
      </c>
      <c r="U24" s="18" t="s">
        <v>168</v>
      </c>
      <c r="V24" s="18" t="s">
        <v>166</v>
      </c>
    </row>
    <row r="25" spans="11:22" x14ac:dyDescent="0.25">
      <c r="K25" s="16" t="s">
        <v>167</v>
      </c>
      <c r="L25" s="2">
        <f>N25-O25-P25-Q25+R25+S25+T25+U25+V25</f>
        <v>56.654568536501614</v>
      </c>
      <c r="M25" s="2"/>
      <c r="N25" s="2">
        <v>-29.5</v>
      </c>
      <c r="O25" s="2">
        <v>33.5</v>
      </c>
      <c r="P25" s="2">
        <v>16</v>
      </c>
      <c r="Q25" s="2">
        <v>8</v>
      </c>
      <c r="R25" s="23">
        <f>_xll.ITMArea(D4,G3,X3,Y3,_xll.DistKm(B4,C4,E3,F3),V3,W3,S3,H3,IF(N3="V",1,0),U3,T3,Z3,AA3*100,AB3*100,AC3*100)</f>
        <v>136.65456853650161</v>
      </c>
      <c r="S25" s="2">
        <v>0</v>
      </c>
      <c r="T25" s="2">
        <v>3</v>
      </c>
      <c r="U25" s="2">
        <v>4</v>
      </c>
      <c r="V25" s="2">
        <v>0</v>
      </c>
    </row>
    <row r="26" spans="11:22" x14ac:dyDescent="0.25">
      <c r="K26" s="16" t="s">
        <v>23</v>
      </c>
      <c r="L26" s="2">
        <f>N26-O26-P26-Q26+R26+S26+T26+U26+V26</f>
        <v>114.26920385903014</v>
      </c>
      <c r="M26" s="2"/>
      <c r="N26" s="2">
        <v>-29.5</v>
      </c>
      <c r="O26" s="2">
        <v>33.5</v>
      </c>
      <c r="P26" s="2">
        <v>16</v>
      </c>
      <c r="Q26" s="2">
        <v>8</v>
      </c>
      <c r="R26" s="23">
        <f>_xll.ITMPointToPointCR(D4,G3,B4,C4,E3,F3,W3,S3,H3,IF(N3="V",1,0),U3,T3,Z3,AA3*100,AB3*100,0,TerDirectory)</f>
        <v>194.26920385903014</v>
      </c>
      <c r="S26" s="2">
        <v>0</v>
      </c>
      <c r="T26" s="2">
        <v>3</v>
      </c>
      <c r="U26" s="2">
        <v>4</v>
      </c>
      <c r="V26" s="2">
        <v>0</v>
      </c>
    </row>
    <row r="28" spans="11:22" x14ac:dyDescent="0.25">
      <c r="K28" s="17" t="s">
        <v>199</v>
      </c>
      <c r="L28">
        <f>-29.5-(-102.5)</f>
        <v>73</v>
      </c>
      <c r="M28" s="19" t="str">
        <f>"="</f>
        <v>=</v>
      </c>
      <c r="N28" t="s">
        <v>171</v>
      </c>
    </row>
    <row r="29" spans="11:22" x14ac:dyDescent="0.25">
      <c r="O29" t="s">
        <v>182</v>
      </c>
      <c r="P29" s="27">
        <f xml:space="preserve"> _xll.Delta_Bearing(_xll.Bearing(B4,C4,E4,F4),_xll.Bearing(B4,C4,E3,F3))</f>
        <v>5.0109994456653908</v>
      </c>
      <c r="Q29" t="s">
        <v>181</v>
      </c>
    </row>
    <row r="30" spans="11:22" x14ac:dyDescent="0.25">
      <c r="O30" t="s">
        <v>183</v>
      </c>
      <c r="P30" s="27">
        <f xml:space="preserve"> _xll.Delta_Bearing(_xll.Bearing(E4,F4,B4,C4),_xll.Bearing(E4,F4,B3,C3))</f>
        <v>9.9904702043319702</v>
      </c>
      <c r="Q30" t="s">
        <v>181</v>
      </c>
    </row>
    <row r="31" spans="11:22" x14ac:dyDescent="0.25">
      <c r="L31" s="17" t="s">
        <v>172</v>
      </c>
    </row>
    <row r="32" spans="11:22" ht="17.25" x14ac:dyDescent="0.25">
      <c r="L32" t="s">
        <v>178</v>
      </c>
    </row>
    <row r="33" spans="12:13" x14ac:dyDescent="0.25">
      <c r="M33" t="str">
        <f>"- Telecommunications Industry Association Bulletin 10F specifies an I/N of -6 dB for digital systems"</f>
        <v>- Telecommunications Industry Association Bulletin 10F specifies an I/N of -6 dB for digital systems</v>
      </c>
    </row>
    <row r="34" spans="12:13" x14ac:dyDescent="0.25">
      <c r="L34" t="s">
        <v>173</v>
      </c>
    </row>
    <row r="35" spans="12:13" x14ac:dyDescent="0.25">
      <c r="M35" t="s">
        <v>174</v>
      </c>
    </row>
    <row r="36" spans="12:13" x14ac:dyDescent="0.25">
      <c r="L36" t="s">
        <v>175</v>
      </c>
    </row>
    <row r="37" spans="12:13" x14ac:dyDescent="0.25">
      <c r="M37" t="s">
        <v>176</v>
      </c>
    </row>
  </sheetData>
  <mergeCells count="2">
    <mergeCell ref="B1:D1"/>
    <mergeCell ref="E1:G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G35"/>
  <sheetViews>
    <sheetView workbookViewId="0">
      <selection activeCell="A24" sqref="A24"/>
    </sheetView>
  </sheetViews>
  <sheetFormatPr defaultRowHeight="15" x14ac:dyDescent="0.25"/>
  <cols>
    <col min="4" max="6" width="9.85546875" customWidth="1"/>
  </cols>
  <sheetData>
    <row r="2" spans="1:7" ht="60" x14ac:dyDescent="0.25">
      <c r="A2" s="10" t="s">
        <v>114</v>
      </c>
      <c r="B2" s="10" t="s">
        <v>115</v>
      </c>
      <c r="C2" s="10" t="s">
        <v>116</v>
      </c>
      <c r="D2" s="10" t="s">
        <v>111</v>
      </c>
      <c r="E2" s="10" t="s">
        <v>112</v>
      </c>
      <c r="F2" s="10" t="s">
        <v>113</v>
      </c>
      <c r="G2" s="10" t="s">
        <v>117</v>
      </c>
    </row>
    <row r="3" spans="1:7" x14ac:dyDescent="0.25">
      <c r="A3" s="2">
        <v>43</v>
      </c>
      <c r="B3" s="21">
        <v>0</v>
      </c>
      <c r="C3" s="2">
        <v>25</v>
      </c>
      <c r="D3" s="12">
        <v>0.75</v>
      </c>
      <c r="E3" s="25">
        <f>_xll.BmWToGain_dB(C3,D3)</f>
        <v>49.503599999999999</v>
      </c>
      <c r="F3" s="25">
        <f>_xll.StatGainWolfGain(B3,A3)</f>
        <v>43</v>
      </c>
      <c r="G3" s="25">
        <f>_xll.StatGain(B3,A3)</f>
        <v>43</v>
      </c>
    </row>
    <row r="4" spans="1:7" x14ac:dyDescent="0.25">
      <c r="A4" s="2">
        <v>43</v>
      </c>
      <c r="B4" s="22">
        <v>0.5</v>
      </c>
      <c r="C4" s="2">
        <v>25</v>
      </c>
      <c r="D4" s="12">
        <v>0.75</v>
      </c>
      <c r="E4" s="25">
        <f>_xll.BmWToGain_dB(C4,D4)</f>
        <v>49.503599999999999</v>
      </c>
      <c r="F4" s="25">
        <f>_xll.StatGainWolfGain(B4,A4)</f>
        <v>41.004737685031124</v>
      </c>
      <c r="G4" s="25">
        <f>_xll.StatGain(B4,A4)</f>
        <v>41.004737685031124</v>
      </c>
    </row>
    <row r="5" spans="1:7" x14ac:dyDescent="0.25">
      <c r="A5" s="2">
        <v>43</v>
      </c>
      <c r="B5" s="21">
        <v>1</v>
      </c>
      <c r="C5" s="2">
        <v>25</v>
      </c>
      <c r="D5" s="12">
        <v>0.75</v>
      </c>
      <c r="E5" s="25">
        <f>_xll.BmWToGain_dB(C5,D5)</f>
        <v>49.503599999999999</v>
      </c>
      <c r="F5" s="25">
        <f>_xll.StatGainWolfGain(B5,A5)</f>
        <v>35.018950740124481</v>
      </c>
      <c r="G5" s="25">
        <f>_xll.StatGain(B5,A5)</f>
        <v>35.018950740124481</v>
      </c>
    </row>
    <row r="6" spans="1:7" x14ac:dyDescent="0.25">
      <c r="A6" s="2">
        <v>43</v>
      </c>
      <c r="B6" s="22">
        <v>1.5</v>
      </c>
      <c r="C6" s="2">
        <v>25</v>
      </c>
      <c r="D6" s="12">
        <v>0.75</v>
      </c>
      <c r="E6" s="25">
        <f>_xll.BmWToGain_dB(C6,D6)</f>
        <v>49.503599999999999</v>
      </c>
      <c r="F6" s="25">
        <f>_xll.StatGainWolfGain(B6,A6)</f>
        <v>25.25</v>
      </c>
      <c r="G6" s="25">
        <f>_xll.StatGain(B6,A6)</f>
        <v>25.25</v>
      </c>
    </row>
    <row r="7" spans="1:7" x14ac:dyDescent="0.25">
      <c r="A7" s="2">
        <v>43</v>
      </c>
      <c r="B7" s="21">
        <v>2</v>
      </c>
      <c r="C7" s="2">
        <v>25</v>
      </c>
      <c r="D7" s="12">
        <v>0.75</v>
      </c>
      <c r="E7" s="25">
        <f>_xll.BmWToGain_dB(C7,D7)</f>
        <v>49.503599999999999</v>
      </c>
      <c r="F7" s="25">
        <f>_xll.StatGainWolfGain(B7,A7)</f>
        <v>23.974250108400469</v>
      </c>
      <c r="G7" s="25">
        <f>_xll.StatGain(B7,A7)</f>
        <v>23.974250108400469</v>
      </c>
    </row>
    <row r="8" spans="1:7" x14ac:dyDescent="0.25">
      <c r="A8" s="2">
        <v>43</v>
      </c>
      <c r="B8" s="22">
        <v>2.5</v>
      </c>
      <c r="C8" s="2">
        <v>25</v>
      </c>
      <c r="D8" s="12">
        <v>0.75</v>
      </c>
      <c r="E8" s="25">
        <f>_xll.BmWToGain_dB(C8,D8)</f>
        <v>49.503599999999999</v>
      </c>
      <c r="F8" s="25">
        <f>_xll.StatGainWolfGain(B8,A8)</f>
        <v>21.551499783199059</v>
      </c>
      <c r="G8" s="25">
        <f>_xll.StatGain(B8,A8)</f>
        <v>21.551499783199059</v>
      </c>
    </row>
    <row r="9" spans="1:7" x14ac:dyDescent="0.25">
      <c r="A9" s="2">
        <v>43</v>
      </c>
      <c r="B9" s="21">
        <v>3</v>
      </c>
      <c r="C9" s="2">
        <v>25</v>
      </c>
      <c r="D9" s="12">
        <v>0.75</v>
      </c>
      <c r="E9" s="25">
        <f>_xll.BmWToGain_dB(C9,D9)</f>
        <v>49.503599999999999</v>
      </c>
      <c r="F9" s="25">
        <f>_xll.StatGainWolfGain(B9,A9)</f>
        <v>19.571968632008439</v>
      </c>
      <c r="G9" s="25">
        <f>_xll.StatGain(B9,A9)</f>
        <v>19.571968632008439</v>
      </c>
    </row>
    <row r="10" spans="1:7" x14ac:dyDescent="0.25">
      <c r="A10" s="2">
        <v>43</v>
      </c>
      <c r="B10" s="22">
        <v>3.5</v>
      </c>
      <c r="C10" s="2">
        <v>25</v>
      </c>
      <c r="D10" s="12">
        <v>0.75</v>
      </c>
      <c r="E10" s="25">
        <f>_xll.BmWToGain_dB(C10,D10)</f>
        <v>49.503599999999999</v>
      </c>
      <c r="F10" s="25">
        <f>_xll.StatGainWolfGain(B10,A10)</f>
        <v>17.898298891243108</v>
      </c>
      <c r="G10" s="25">
        <f>_xll.StatGain(B10,A10)</f>
        <v>17.898298891243108</v>
      </c>
    </row>
    <row r="11" spans="1:7" x14ac:dyDescent="0.25">
      <c r="A11" s="2">
        <v>43</v>
      </c>
      <c r="B11" s="21">
        <v>4</v>
      </c>
      <c r="C11" s="2">
        <v>25</v>
      </c>
      <c r="D11" s="12">
        <v>0.75</v>
      </c>
      <c r="E11" s="25">
        <f>_xll.BmWToGain_dB(C11,D11)</f>
        <v>49.503599999999999</v>
      </c>
      <c r="F11" s="25">
        <f>_xll.StatGainWolfGain(B11,A11)</f>
        <v>16.448500216800941</v>
      </c>
      <c r="G11" s="25">
        <f>_xll.StatGain(B11,A11)</f>
        <v>16.448500216800941</v>
      </c>
    </row>
    <row r="12" spans="1:7" x14ac:dyDescent="0.25">
      <c r="A12" s="2">
        <v>43</v>
      </c>
      <c r="B12" s="22">
        <v>4.5</v>
      </c>
      <c r="C12" s="2">
        <v>25</v>
      </c>
      <c r="D12" s="12">
        <v>0.75</v>
      </c>
      <c r="E12" s="25">
        <f>_xll.BmWToGain_dB(C12,D12)</f>
        <v>49.503599999999999</v>
      </c>
      <c r="F12" s="25">
        <f>_xll.StatGainWolfGain(B12,A12)</f>
        <v>15.169687155616408</v>
      </c>
      <c r="G12" s="25">
        <f>_xll.StatGain(B12,A12)</f>
        <v>15.169687155616408</v>
      </c>
    </row>
    <row r="13" spans="1:7" x14ac:dyDescent="0.25">
      <c r="A13" s="2">
        <v>43</v>
      </c>
      <c r="B13" s="21">
        <v>5</v>
      </c>
      <c r="C13" s="2">
        <v>25</v>
      </c>
      <c r="D13" s="12">
        <v>0.75</v>
      </c>
      <c r="E13" s="25">
        <f>_xll.BmWToGain_dB(C13,D13)</f>
        <v>49.503599999999999</v>
      </c>
      <c r="F13" s="25">
        <f>_xll.StatGainWolfGain(B13,A13)</f>
        <v>14.025749891599528</v>
      </c>
      <c r="G13" s="25">
        <f>_xll.StatGain(B13,A13)</f>
        <v>14.025749891599528</v>
      </c>
    </row>
    <row r="14" spans="1:7" x14ac:dyDescent="0.25">
      <c r="A14" s="2">
        <v>43</v>
      </c>
      <c r="B14" s="22">
        <v>5.5</v>
      </c>
      <c r="C14" s="2">
        <v>25</v>
      </c>
      <c r="D14" s="12">
        <v>0.75</v>
      </c>
      <c r="E14" s="25">
        <f>_xll.BmWToGain_dB(C14,D14)</f>
        <v>49.503599999999999</v>
      </c>
      <c r="F14" s="25">
        <f>_xll.StatGainWolfGain(B14,A14)</f>
        <v>12.990932762643904</v>
      </c>
      <c r="G14" s="25">
        <f>_xll.StatGain(B14,A14)</f>
        <v>12.990932762643904</v>
      </c>
    </row>
    <row r="15" spans="1:7" x14ac:dyDescent="0.25">
      <c r="A15" s="2">
        <v>43</v>
      </c>
      <c r="B15" s="21">
        <v>6</v>
      </c>
      <c r="C15" s="2">
        <v>25</v>
      </c>
      <c r="D15" s="12">
        <v>0.75</v>
      </c>
      <c r="E15" s="25">
        <f>_xll.BmWToGain_dB(C15,D15)</f>
        <v>49.503599999999999</v>
      </c>
      <c r="F15" s="25">
        <f>_xll.StatGainWolfGain(B15,A15)</f>
        <v>12.046218740408911</v>
      </c>
      <c r="G15" s="25">
        <f>_xll.StatGain(B15,A15)</f>
        <v>12.046218740408911</v>
      </c>
    </row>
    <row r="16" spans="1:7" x14ac:dyDescent="0.25">
      <c r="A16" s="2">
        <v>43</v>
      </c>
      <c r="B16" s="22">
        <v>6.5</v>
      </c>
      <c r="C16" s="2">
        <v>25</v>
      </c>
      <c r="D16" s="12">
        <v>0.75</v>
      </c>
      <c r="E16" s="25">
        <f>_xll.BmWToGain_dB(C16,D16)</f>
        <v>49.503599999999999</v>
      </c>
      <c r="F16" s="25">
        <f>_xll.StatGainWolfGain(B16,A16)</f>
        <v>11.177166083928611</v>
      </c>
      <c r="G16" s="25">
        <f>_xll.StatGain(B16,A16)</f>
        <v>11.177166083928611</v>
      </c>
    </row>
    <row r="17" spans="1:7" x14ac:dyDescent="0.25">
      <c r="A17" s="2">
        <v>43</v>
      </c>
      <c r="B17" s="21">
        <v>7</v>
      </c>
      <c r="C17" s="2">
        <v>25</v>
      </c>
      <c r="D17" s="12">
        <v>0.75</v>
      </c>
      <c r="E17" s="25">
        <f>_xll.BmWToGain_dB(C17,D17)</f>
        <v>49.503599999999999</v>
      </c>
      <c r="F17" s="25">
        <f>_xll.StatGainWolfGain(B17,A17)</f>
        <v>10.37254899964358</v>
      </c>
      <c r="G17" s="25">
        <f>_xll.StatGain(B17,A17)</f>
        <v>10.37254899964358</v>
      </c>
    </row>
    <row r="18" spans="1:7" x14ac:dyDescent="0.25">
      <c r="A18" s="2">
        <v>43</v>
      </c>
      <c r="B18" s="22">
        <v>7.5</v>
      </c>
      <c r="C18" s="2">
        <v>25</v>
      </c>
      <c r="D18" s="12">
        <v>0.75</v>
      </c>
      <c r="E18" s="25">
        <f>_xll.BmWToGain_dB(C18,D18)</f>
        <v>49.503599999999999</v>
      </c>
      <c r="F18" s="25">
        <f>_xll.StatGainWolfGain(B18,A18)</f>
        <v>9.6234684152074976</v>
      </c>
      <c r="G18" s="25">
        <f>_xll.StatGain(B18,A18)</f>
        <v>9.6234684152074976</v>
      </c>
    </row>
    <row r="19" spans="1:7" x14ac:dyDescent="0.25">
      <c r="A19" s="2">
        <v>43</v>
      </c>
      <c r="B19" s="21">
        <v>8</v>
      </c>
      <c r="C19" s="2">
        <v>25</v>
      </c>
      <c r="D19" s="12">
        <v>0.75</v>
      </c>
      <c r="E19" s="25">
        <f>_xll.BmWToGain_dB(C19,D19)</f>
        <v>49.503599999999999</v>
      </c>
      <c r="F19" s="25">
        <f>_xll.StatGainWolfGain(B19,A19)</f>
        <v>8.9227503252014131</v>
      </c>
      <c r="G19" s="25">
        <f>_xll.StatGain(B19,A19)</f>
        <v>8.9227503252014131</v>
      </c>
    </row>
    <row r="20" spans="1:7" x14ac:dyDescent="0.25">
      <c r="A20" s="2">
        <v>43</v>
      </c>
      <c r="B20" s="22">
        <v>8.5</v>
      </c>
      <c r="C20" s="2">
        <v>25</v>
      </c>
      <c r="D20" s="12">
        <v>0.75</v>
      </c>
      <c r="E20" s="25">
        <f>_xll.BmWToGain_dB(C20,D20)</f>
        <v>49.503599999999999</v>
      </c>
      <c r="F20" s="25">
        <f>_xll.StatGainWolfGain(B20,A20)</f>
        <v>8.2645268571426804</v>
      </c>
      <c r="G20" s="25">
        <f>_xll.StatGain(B20,A20)</f>
        <v>8.2645268571426804</v>
      </c>
    </row>
    <row r="21" spans="1:7" x14ac:dyDescent="0.25">
      <c r="A21" s="2">
        <v>43</v>
      </c>
      <c r="B21" s="21">
        <v>9</v>
      </c>
      <c r="C21" s="2">
        <v>25</v>
      </c>
      <c r="D21" s="12">
        <v>0.75</v>
      </c>
      <c r="E21" s="25">
        <f>_xll.BmWToGain_dB(C21,D21)</f>
        <v>49.503599999999999</v>
      </c>
      <c r="F21" s="25">
        <f>_xll.StatGainWolfGain(B21,A21)</f>
        <v>7.643937264016877</v>
      </c>
      <c r="G21" s="25">
        <f>_xll.StatGain(B21,A21)</f>
        <v>7.643937264016877</v>
      </c>
    </row>
    <row r="22" spans="1:7" x14ac:dyDescent="0.25">
      <c r="A22" s="2">
        <v>43</v>
      </c>
      <c r="B22" s="22">
        <v>9.5</v>
      </c>
      <c r="C22" s="2">
        <v>25</v>
      </c>
      <c r="D22" s="12">
        <v>0.75</v>
      </c>
      <c r="E22" s="25">
        <f>_xll.BmWToGain_dB(C22,D22)</f>
        <v>49.503599999999999</v>
      </c>
      <c r="F22" s="25">
        <f>_xll.StatGainWolfGain(B22,A22)</f>
        <v>7.0569098677788062</v>
      </c>
      <c r="G22" s="25">
        <f>_xll.StatGain(B22,A22)</f>
        <v>7.0569098677788062</v>
      </c>
    </row>
    <row r="23" spans="1:7" x14ac:dyDescent="0.25">
      <c r="A23" s="2">
        <v>43</v>
      </c>
      <c r="B23" s="21">
        <v>10</v>
      </c>
      <c r="C23" s="2">
        <v>25</v>
      </c>
      <c r="D23" s="12">
        <v>0.75</v>
      </c>
      <c r="E23" s="25">
        <f>_xll.BmWToGain_dB(C23,D23)</f>
        <v>49.503599999999999</v>
      </c>
      <c r="F23" s="25">
        <f>_xll.StatGainWolfGain(B23,A23)</f>
        <v>6.5</v>
      </c>
      <c r="G23" s="25">
        <f>_xll.StatGain(B23,A23)</f>
        <v>6.5</v>
      </c>
    </row>
    <row r="25" spans="1:7" x14ac:dyDescent="0.25">
      <c r="A25" s="17" t="s">
        <v>261</v>
      </c>
    </row>
    <row r="26" spans="1:7" x14ac:dyDescent="0.25">
      <c r="A26" s="17" t="s">
        <v>260</v>
      </c>
    </row>
    <row r="27" spans="1:7" x14ac:dyDescent="0.25">
      <c r="A27" s="52" t="s">
        <v>262</v>
      </c>
    </row>
    <row r="29" spans="1:7" x14ac:dyDescent="0.25">
      <c r="A29" s="17" t="s">
        <v>117</v>
      </c>
    </row>
    <row r="30" spans="1:7" x14ac:dyDescent="0.25">
      <c r="A30" t="s">
        <v>256</v>
      </c>
    </row>
    <row r="31" spans="1:7" x14ac:dyDescent="0.25">
      <c r="A31" t="s">
        <v>255</v>
      </c>
    </row>
    <row r="33" spans="1:1" x14ac:dyDescent="0.25">
      <c r="A33" s="17" t="s">
        <v>257</v>
      </c>
    </row>
    <row r="34" spans="1:1" x14ac:dyDescent="0.25">
      <c r="A34" t="s">
        <v>258</v>
      </c>
    </row>
    <row r="35" spans="1:1" x14ac:dyDescent="0.25">
      <c r="A35" t="s">
        <v>259</v>
      </c>
    </row>
  </sheetData>
  <hyperlinks>
    <hyperlink ref="A27" r:id="rId1" xr:uid="{90B367F7-D5CA-4512-A232-0A140940FDBE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D46"/>
  <sheetViews>
    <sheetView workbookViewId="0">
      <selection activeCell="C2" sqref="C2"/>
    </sheetView>
  </sheetViews>
  <sheetFormatPr defaultRowHeight="15" x14ac:dyDescent="0.25"/>
  <cols>
    <col min="2" max="2" width="22.5703125" bestFit="1" customWidth="1"/>
  </cols>
  <sheetData>
    <row r="1" spans="1:4" x14ac:dyDescent="0.25">
      <c r="A1" s="6" t="s">
        <v>34</v>
      </c>
      <c r="B1" s="6" t="s">
        <v>25</v>
      </c>
      <c r="C1" s="6" t="s">
        <v>26</v>
      </c>
      <c r="D1" s="6" t="s">
        <v>27</v>
      </c>
    </row>
    <row r="2" spans="1:4" x14ac:dyDescent="0.25">
      <c r="A2" s="46" t="s">
        <v>42</v>
      </c>
      <c r="B2" s="5" t="s">
        <v>28</v>
      </c>
      <c r="C2" s="2">
        <v>120</v>
      </c>
      <c r="D2" s="23" cm="1">
        <f t="array" ref="D2">_xll.dBuV_to_Volts(C2)</f>
        <v>1</v>
      </c>
    </row>
    <row r="3" spans="1:4" x14ac:dyDescent="0.25">
      <c r="A3" s="46"/>
      <c r="B3" s="5" t="s">
        <v>29</v>
      </c>
      <c r="C3" s="2">
        <v>1</v>
      </c>
      <c r="D3" s="23">
        <f>_xll.Volts_to_dBuV(C3)</f>
        <v>120</v>
      </c>
    </row>
    <row r="4" spans="1:4" x14ac:dyDescent="0.25">
      <c r="A4" s="46"/>
      <c r="B4" s="5" t="s">
        <v>30</v>
      </c>
      <c r="C4" s="2">
        <v>1</v>
      </c>
      <c r="D4" s="23">
        <f>_xll.Volts_to_dBV(C4)</f>
        <v>0</v>
      </c>
    </row>
    <row r="5" spans="1:4" x14ac:dyDescent="0.25">
      <c r="A5" s="46"/>
      <c r="B5" s="5" t="s">
        <v>33</v>
      </c>
      <c r="C5" s="2">
        <v>0</v>
      </c>
      <c r="D5" s="23">
        <f>_xll.dBV_to_Volts(C5)</f>
        <v>1</v>
      </c>
    </row>
    <row r="6" spans="1:4" x14ac:dyDescent="0.25">
      <c r="A6" s="46"/>
      <c r="B6" s="5" t="s">
        <v>31</v>
      </c>
      <c r="C6" s="2">
        <v>0</v>
      </c>
      <c r="D6" s="23">
        <f>_xll.dBV_to_dBuV(C6)</f>
        <v>120</v>
      </c>
    </row>
    <row r="7" spans="1:4" x14ac:dyDescent="0.25">
      <c r="A7" s="46"/>
      <c r="B7" s="5" t="s">
        <v>32</v>
      </c>
      <c r="C7" s="2">
        <v>120</v>
      </c>
      <c r="D7" s="23">
        <f>_xll.dBuV_to_dBV(C7)</f>
        <v>0</v>
      </c>
    </row>
    <row r="8" spans="1:4" x14ac:dyDescent="0.25">
      <c r="A8" s="46" t="s">
        <v>41</v>
      </c>
      <c r="B8" s="5" t="s">
        <v>35</v>
      </c>
      <c r="C8" s="2">
        <v>0</v>
      </c>
      <c r="D8" s="23">
        <f>_xll.dBm_to_Watts(C8)</f>
        <v>1E-3</v>
      </c>
    </row>
    <row r="9" spans="1:4" x14ac:dyDescent="0.25">
      <c r="A9" s="46"/>
      <c r="B9" s="5" t="s">
        <v>36</v>
      </c>
      <c r="C9" s="2">
        <v>1E-3</v>
      </c>
      <c r="D9" s="23">
        <f>_xll.Watts_to_dBm(C9)</f>
        <v>0</v>
      </c>
    </row>
    <row r="10" spans="1:4" x14ac:dyDescent="0.25">
      <c r="A10" s="46"/>
      <c r="B10" s="5" t="s">
        <v>37</v>
      </c>
      <c r="C10" s="2">
        <v>0</v>
      </c>
      <c r="D10" s="23">
        <f>_xll.dBW_to_Watts(C10)</f>
        <v>10</v>
      </c>
    </row>
    <row r="11" spans="1:4" x14ac:dyDescent="0.25">
      <c r="A11" s="46"/>
      <c r="B11" s="5" t="s">
        <v>38</v>
      </c>
      <c r="C11" s="2">
        <v>10</v>
      </c>
      <c r="D11" s="23">
        <f>_xll.Watts_to_dBW(C11)</f>
        <v>100</v>
      </c>
    </row>
    <row r="12" spans="1:4" x14ac:dyDescent="0.25">
      <c r="A12" s="46"/>
      <c r="B12" s="5" t="s">
        <v>39</v>
      </c>
      <c r="C12" s="2">
        <v>0</v>
      </c>
      <c r="D12" s="23">
        <f>_xll.dBW_to_dBm(C12)</f>
        <v>30</v>
      </c>
    </row>
    <row r="13" spans="1:4" x14ac:dyDescent="0.25">
      <c r="A13" s="46"/>
      <c r="B13" s="5" t="s">
        <v>40</v>
      </c>
      <c r="C13" s="2">
        <v>30</v>
      </c>
      <c r="D13" s="23">
        <f>_xll.dBm_to_dBW(C13)</f>
        <v>0</v>
      </c>
    </row>
    <row r="14" spans="1:4" x14ac:dyDescent="0.25">
      <c r="A14" s="46" t="s">
        <v>49</v>
      </c>
      <c r="B14" s="5" t="s">
        <v>43</v>
      </c>
      <c r="C14" s="2">
        <v>0</v>
      </c>
      <c r="D14" s="23">
        <f>_xll.dBuA_to_uA(C14)</f>
        <v>1</v>
      </c>
    </row>
    <row r="15" spans="1:4" x14ac:dyDescent="0.25">
      <c r="A15" s="46"/>
      <c r="B15" s="5" t="s">
        <v>44</v>
      </c>
      <c r="C15" s="2">
        <v>1</v>
      </c>
      <c r="D15" s="23">
        <f>_xll.uA_to_dBuA(C15)</f>
        <v>0</v>
      </c>
    </row>
    <row r="16" spans="1:4" x14ac:dyDescent="0.25">
      <c r="A16" s="46"/>
      <c r="B16" s="5" t="s">
        <v>45</v>
      </c>
      <c r="C16" s="2">
        <v>0</v>
      </c>
      <c r="D16" s="23">
        <f>_xll.dBA_to_A(C16)</f>
        <v>1</v>
      </c>
    </row>
    <row r="17" spans="1:4" x14ac:dyDescent="0.25">
      <c r="A17" s="46"/>
      <c r="B17" s="5" t="s">
        <v>47</v>
      </c>
      <c r="C17" s="2">
        <v>1</v>
      </c>
      <c r="D17" s="23">
        <f>_xll.A_to_dBA(C17)</f>
        <v>0</v>
      </c>
    </row>
    <row r="18" spans="1:4" x14ac:dyDescent="0.25">
      <c r="A18" s="46"/>
      <c r="B18" s="5" t="s">
        <v>46</v>
      </c>
      <c r="C18" s="2">
        <v>0</v>
      </c>
      <c r="D18" s="23">
        <f>_xll.dBA_to_dBuA(C18)</f>
        <v>120</v>
      </c>
    </row>
    <row r="19" spans="1:4" x14ac:dyDescent="0.25">
      <c r="A19" s="46"/>
      <c r="B19" s="5" t="s">
        <v>48</v>
      </c>
      <c r="C19" s="2">
        <v>120</v>
      </c>
      <c r="D19" s="23">
        <f>_xll.dBuA_to_dBA(C19)</f>
        <v>0</v>
      </c>
    </row>
    <row r="20" spans="1:4" x14ac:dyDescent="0.25">
      <c r="A20" s="43" t="s">
        <v>62</v>
      </c>
      <c r="B20" s="5" t="s">
        <v>50</v>
      </c>
      <c r="C20" s="2">
        <v>0</v>
      </c>
      <c r="D20" s="23">
        <f>_xll.dBuVpm_to_Vpm(C20)</f>
        <v>9.9999999999999995E-7</v>
      </c>
    </row>
    <row r="21" spans="1:4" x14ac:dyDescent="0.25">
      <c r="A21" s="44"/>
      <c r="B21" s="5" t="s">
        <v>51</v>
      </c>
      <c r="C21" s="2">
        <v>9.9999999999999995E-7</v>
      </c>
      <c r="D21" s="23">
        <f>_xll.Vpm_to_dBuVpm(C21)</f>
        <v>0</v>
      </c>
    </row>
    <row r="22" spans="1:4" x14ac:dyDescent="0.25">
      <c r="A22" s="44"/>
      <c r="B22" s="5" t="s">
        <v>52</v>
      </c>
      <c r="C22" s="2">
        <v>0</v>
      </c>
      <c r="D22" s="23">
        <f>_xll.dBuVpm_to_dBmWpm2(C22)</f>
        <v>-115.8</v>
      </c>
    </row>
    <row r="23" spans="1:4" x14ac:dyDescent="0.25">
      <c r="A23" s="44"/>
      <c r="B23" s="5" t="s">
        <v>53</v>
      </c>
      <c r="C23" s="2">
        <v>-115.8</v>
      </c>
      <c r="D23" s="23">
        <f>_xll.dBmWpm2_to_dBuVpm(C23)</f>
        <v>0</v>
      </c>
    </row>
    <row r="24" spans="1:4" x14ac:dyDescent="0.25">
      <c r="A24" s="44"/>
      <c r="B24" s="5" t="s">
        <v>54</v>
      </c>
      <c r="C24" s="2">
        <v>0</v>
      </c>
      <c r="D24" s="23">
        <f>_xll.dBuVpm_to_dBuApm(C24)</f>
        <v>-51.5</v>
      </c>
    </row>
    <row r="25" spans="1:4" x14ac:dyDescent="0.25">
      <c r="A25" s="44"/>
      <c r="B25" s="5" t="s">
        <v>55</v>
      </c>
      <c r="C25" s="2">
        <v>-51.5</v>
      </c>
      <c r="D25" s="23">
        <f>_xll.dBuApm_to_dBuVpm(C25)</f>
        <v>0</v>
      </c>
    </row>
    <row r="26" spans="1:4" x14ac:dyDescent="0.25">
      <c r="A26" s="44"/>
      <c r="B26" s="5" t="s">
        <v>56</v>
      </c>
      <c r="C26" s="2">
        <v>0</v>
      </c>
      <c r="D26" s="23">
        <f>_xll.dBuApm_to_dBpT(C26)</f>
        <v>2</v>
      </c>
    </row>
    <row r="27" spans="1:4" x14ac:dyDescent="0.25">
      <c r="A27" s="44"/>
      <c r="B27" s="5" t="s">
        <v>57</v>
      </c>
      <c r="C27" s="2">
        <v>2</v>
      </c>
      <c r="D27" s="23">
        <f>_xll.dBpT_to_dBuApm(C27)</f>
        <v>0</v>
      </c>
    </row>
    <row r="28" spans="1:4" x14ac:dyDescent="0.25">
      <c r="A28" s="44"/>
      <c r="B28" s="5" t="s">
        <v>58</v>
      </c>
      <c r="C28" s="2">
        <v>10</v>
      </c>
      <c r="D28" s="23">
        <f>_xll.Wpm2_to_Vpm(C28)</f>
        <v>61.400325732035007</v>
      </c>
    </row>
    <row r="29" spans="1:4" x14ac:dyDescent="0.25">
      <c r="A29" s="44"/>
      <c r="B29" s="5" t="s">
        <v>59</v>
      </c>
      <c r="C29" s="2">
        <v>61.400325732035007</v>
      </c>
      <c r="D29" s="23">
        <f>_xll.Vpm_to_Wpm2(C29)</f>
        <v>10.000000000000002</v>
      </c>
    </row>
    <row r="30" spans="1:4" x14ac:dyDescent="0.25">
      <c r="A30" s="44"/>
      <c r="B30" s="5" t="s">
        <v>60</v>
      </c>
      <c r="C30" s="2">
        <v>10</v>
      </c>
      <c r="D30" s="23">
        <f>_xll.uT_to_Apm(C30)</f>
        <v>8</v>
      </c>
    </row>
    <row r="31" spans="1:4" x14ac:dyDescent="0.25">
      <c r="A31" s="45"/>
      <c r="B31" s="5" t="s">
        <v>61</v>
      </c>
      <c r="C31" s="2">
        <v>8</v>
      </c>
      <c r="D31" s="23">
        <f>_xll.Apm_to_uT(C31)</f>
        <v>10</v>
      </c>
    </row>
    <row r="32" spans="1:4" x14ac:dyDescent="0.25">
      <c r="A32" s="43" t="s">
        <v>71</v>
      </c>
      <c r="B32" s="5" t="s">
        <v>63</v>
      </c>
      <c r="C32" s="2">
        <v>1</v>
      </c>
      <c r="D32" s="23">
        <f>_xll.Feet_to_Meters(C32)</f>
        <v>0.30480370641306997</v>
      </c>
    </row>
    <row r="33" spans="1:4" x14ac:dyDescent="0.25">
      <c r="A33" s="44"/>
      <c r="B33" s="5" t="s">
        <v>64</v>
      </c>
      <c r="C33" s="2">
        <v>0.30480370641306997</v>
      </c>
      <c r="D33" s="23">
        <f>_xll.Meters_to_Feet(C33)</f>
        <v>1</v>
      </c>
    </row>
    <row r="34" spans="1:4" x14ac:dyDescent="0.25">
      <c r="A34" s="44"/>
      <c r="B34" s="5" t="s">
        <v>65</v>
      </c>
      <c r="C34" s="2">
        <v>1</v>
      </c>
      <c r="D34" s="23">
        <f>_xll.Miles_to_Kilometers(C34)</f>
        <v>1.6093440000000001</v>
      </c>
    </row>
    <row r="35" spans="1:4" x14ac:dyDescent="0.25">
      <c r="A35" s="44"/>
      <c r="B35" s="5" t="s">
        <v>66</v>
      </c>
      <c r="C35" s="2">
        <v>1.6093440000000001</v>
      </c>
      <c r="D35" s="23">
        <f>_xll.Kilometeres_to_Miles(C35)</f>
        <v>1</v>
      </c>
    </row>
    <row r="36" spans="1:4" x14ac:dyDescent="0.25">
      <c r="A36" s="44"/>
      <c r="B36" s="5" t="s">
        <v>67</v>
      </c>
      <c r="C36" s="2">
        <v>1</v>
      </c>
      <c r="D36" s="23">
        <f>_xll.Feet_to_Miles(C36)</f>
        <v>1.8939393939393939E-4</v>
      </c>
    </row>
    <row r="37" spans="1:4" x14ac:dyDescent="0.25">
      <c r="A37" s="44"/>
      <c r="B37" s="5" t="s">
        <v>68</v>
      </c>
      <c r="C37" s="2">
        <v>1.8939393939393939E-4</v>
      </c>
      <c r="D37" s="23">
        <f>_xll.Miles_to_Feet(C37)</f>
        <v>1</v>
      </c>
    </row>
    <row r="38" spans="1:4" x14ac:dyDescent="0.25">
      <c r="A38" s="44"/>
      <c r="B38" s="5" t="s">
        <v>69</v>
      </c>
      <c r="C38" s="2">
        <v>1</v>
      </c>
      <c r="D38" s="23">
        <f>_xll.Meters_to_Kilometers(C38)</f>
        <v>1E-3</v>
      </c>
    </row>
    <row r="39" spans="1:4" x14ac:dyDescent="0.25">
      <c r="A39" s="45"/>
      <c r="B39" s="5" t="s">
        <v>70</v>
      </c>
      <c r="C39" s="2">
        <v>1E-3</v>
      </c>
      <c r="D39" s="23">
        <f>_xll.Kilometers_to_Meters(C39)</f>
        <v>1</v>
      </c>
    </row>
    <row r="40" spans="1:4" x14ac:dyDescent="0.25">
      <c r="A40" s="46" t="s">
        <v>78</v>
      </c>
      <c r="B40" s="5" t="s">
        <v>72</v>
      </c>
      <c r="C40" s="2">
        <v>212</v>
      </c>
      <c r="D40" s="23">
        <f>_xll.Fahrenheit_to_Celsius(C40)</f>
        <v>100</v>
      </c>
    </row>
    <row r="41" spans="1:4" x14ac:dyDescent="0.25">
      <c r="A41" s="46"/>
      <c r="B41" s="5" t="s">
        <v>73</v>
      </c>
      <c r="C41" s="2">
        <v>100</v>
      </c>
      <c r="D41" s="23">
        <f>_xll.Celsius_to_Fahrenheit(C41)</f>
        <v>212</v>
      </c>
    </row>
    <row r="42" spans="1:4" x14ac:dyDescent="0.25">
      <c r="A42" s="46"/>
      <c r="B42" s="5" t="s">
        <v>74</v>
      </c>
      <c r="C42" s="2">
        <v>0</v>
      </c>
      <c r="D42" s="23">
        <f>_xll.Celsius_to_Kelvin(C42)</f>
        <v>273.14999999999998</v>
      </c>
    </row>
    <row r="43" spans="1:4" x14ac:dyDescent="0.25">
      <c r="A43" s="46"/>
      <c r="B43" s="5" t="s">
        <v>75</v>
      </c>
      <c r="C43" s="2">
        <v>273.14999999999998</v>
      </c>
      <c r="D43" s="23">
        <f>_xll.Kelvin_to_Celsius(C43)</f>
        <v>0</v>
      </c>
    </row>
    <row r="44" spans="1:4" x14ac:dyDescent="0.25">
      <c r="A44" s="46"/>
      <c r="B44" s="5" t="s">
        <v>76</v>
      </c>
      <c r="C44" s="2">
        <v>32</v>
      </c>
      <c r="D44" s="23">
        <f>_xll.Fahrenheit_to_Kelvin(C44)</f>
        <v>273.70555555555552</v>
      </c>
    </row>
    <row r="45" spans="1:4" x14ac:dyDescent="0.25">
      <c r="A45" s="46"/>
      <c r="B45" s="5" t="s">
        <v>77</v>
      </c>
      <c r="C45" s="2">
        <v>273.70555555555552</v>
      </c>
      <c r="D45" s="23">
        <f>_xll.Kelvin_to_Fahrenheit(C45)</f>
        <v>32.999999999999979</v>
      </c>
    </row>
    <row r="46" spans="1:4" x14ac:dyDescent="0.25">
      <c r="A46" s="7" t="s">
        <v>80</v>
      </c>
      <c r="B46" s="5" t="s">
        <v>79</v>
      </c>
      <c r="C46" s="2">
        <v>3.5</v>
      </c>
      <c r="D46" s="23">
        <f>_xll.gpm3_to_hPa(C46, 273.15)</f>
        <v>4.411744347023534</v>
      </c>
    </row>
  </sheetData>
  <mergeCells count="6">
    <mergeCell ref="A32:A39"/>
    <mergeCell ref="A40:A45"/>
    <mergeCell ref="A2:A7"/>
    <mergeCell ref="A8:A13"/>
    <mergeCell ref="A14:A19"/>
    <mergeCell ref="A20:A3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L16"/>
  <sheetViews>
    <sheetView workbookViewId="0">
      <selection activeCell="E12" sqref="E12"/>
    </sheetView>
  </sheetViews>
  <sheetFormatPr defaultRowHeight="15" x14ac:dyDescent="0.25"/>
  <cols>
    <col min="1" max="1" width="16.5703125" customWidth="1"/>
    <col min="2" max="2" width="10" bestFit="1" customWidth="1"/>
    <col min="3" max="3" width="11.28515625" bestFit="1" customWidth="1"/>
    <col min="4" max="4" width="11.85546875" bestFit="1" customWidth="1"/>
    <col min="5" max="5" width="12.85546875" bestFit="1" customWidth="1"/>
    <col min="6" max="6" width="11.7109375" bestFit="1" customWidth="1"/>
    <col min="7" max="7" width="11.28515625" bestFit="1" customWidth="1"/>
    <col min="8" max="8" width="11.85546875" bestFit="1" customWidth="1"/>
    <col min="9" max="9" width="12.85546875" bestFit="1" customWidth="1"/>
    <col min="10" max="10" width="12" bestFit="1" customWidth="1"/>
    <col min="11" max="11" width="11.7109375" bestFit="1" customWidth="1"/>
    <col min="12" max="12" width="23.42578125" customWidth="1"/>
  </cols>
  <sheetData>
    <row r="1" spans="1:12" x14ac:dyDescent="0.25">
      <c r="A1" s="6" t="s">
        <v>184</v>
      </c>
      <c r="B1" s="6" t="s">
        <v>185</v>
      </c>
      <c r="C1" s="6" t="s">
        <v>186</v>
      </c>
      <c r="D1" s="6" t="s">
        <v>187</v>
      </c>
      <c r="E1" s="6" t="s">
        <v>188</v>
      </c>
      <c r="F1" s="6" t="s">
        <v>189</v>
      </c>
      <c r="G1" s="6" t="s">
        <v>190</v>
      </c>
      <c r="H1" s="6" t="s">
        <v>191</v>
      </c>
    </row>
    <row r="2" spans="1:12" x14ac:dyDescent="0.25">
      <c r="A2" s="2" t="s">
        <v>192</v>
      </c>
      <c r="B2" s="2">
        <v>39.4</v>
      </c>
      <c r="C2" s="2">
        <v>-77.400000000000006</v>
      </c>
      <c r="D2" s="2">
        <v>15</v>
      </c>
      <c r="E2" s="2">
        <v>39.369999999999997</v>
      </c>
      <c r="F2" s="2">
        <v>-76.7</v>
      </c>
      <c r="G2" s="2">
        <v>5</v>
      </c>
      <c r="H2" s="2">
        <v>20</v>
      </c>
    </row>
    <row r="3" spans="1:12" x14ac:dyDescent="0.25">
      <c r="A3" s="2" t="s">
        <v>193</v>
      </c>
      <c r="B3" s="2">
        <v>39.130000000000003</v>
      </c>
      <c r="C3" s="2">
        <v>-77.55</v>
      </c>
      <c r="D3" s="2">
        <v>12</v>
      </c>
      <c r="E3" s="2">
        <v>39.43</v>
      </c>
      <c r="F3" s="2">
        <v>-77.8</v>
      </c>
      <c r="G3" s="2">
        <v>10</v>
      </c>
      <c r="H3" s="2">
        <v>15</v>
      </c>
    </row>
    <row r="4" spans="1:12" x14ac:dyDescent="0.25">
      <c r="A4" s="2" t="s">
        <v>194</v>
      </c>
      <c r="B4" s="2">
        <v>39.18</v>
      </c>
      <c r="C4" s="2">
        <v>-77.2</v>
      </c>
      <c r="D4" s="2">
        <v>18</v>
      </c>
      <c r="E4" s="2">
        <v>39.32</v>
      </c>
      <c r="F4" s="2">
        <v>-77.77</v>
      </c>
      <c r="G4" s="2">
        <v>8</v>
      </c>
      <c r="H4" s="2">
        <v>50</v>
      </c>
    </row>
    <row r="5" spans="1:12" x14ac:dyDescent="0.25">
      <c r="A5" s="2" t="s">
        <v>195</v>
      </c>
      <c r="B5" s="2">
        <v>39.369999999999997</v>
      </c>
      <c r="C5" s="2">
        <v>-77.16</v>
      </c>
      <c r="D5" s="2">
        <v>25</v>
      </c>
      <c r="E5" s="2">
        <v>38.799999999999997</v>
      </c>
      <c r="F5" s="2">
        <v>-77.52</v>
      </c>
      <c r="G5" s="2">
        <v>15</v>
      </c>
      <c r="H5" s="2">
        <v>40</v>
      </c>
    </row>
    <row r="11" spans="1:12" x14ac:dyDescent="0.25">
      <c r="B11" s="6" t="s">
        <v>83</v>
      </c>
      <c r="C11" s="6" t="s">
        <v>84</v>
      </c>
      <c r="D11" s="6" t="s">
        <v>89</v>
      </c>
      <c r="E11" s="6" t="s">
        <v>123</v>
      </c>
      <c r="F11" s="6" t="s">
        <v>197</v>
      </c>
      <c r="G11" s="6" t="s">
        <v>85</v>
      </c>
      <c r="H11" s="6" t="s">
        <v>86</v>
      </c>
      <c r="I11" s="6" t="s">
        <v>90</v>
      </c>
      <c r="J11" s="6" t="s">
        <v>123</v>
      </c>
      <c r="K11" s="6" t="s">
        <v>197</v>
      </c>
      <c r="L11" s="6" t="s">
        <v>26</v>
      </c>
    </row>
    <row r="12" spans="1:12" x14ac:dyDescent="0.25">
      <c r="A12" s="5" t="s">
        <v>87</v>
      </c>
      <c r="B12" s="2">
        <v>39.566355999999999</v>
      </c>
      <c r="C12" s="2">
        <v>-77.013035000000002</v>
      </c>
      <c r="D12" s="2">
        <v>10</v>
      </c>
      <c r="E12" s="23">
        <f>ROUND(_xll.TerrainHeight_m(B12,C12,TerHandler,TerDirectory),0)</f>
        <v>215</v>
      </c>
      <c r="F12" s="23">
        <f>ROUND(_xll.RadioHorizon_Km(D12),3)</f>
        <v>11.289</v>
      </c>
      <c r="G12" s="2">
        <v>39.634782999999999</v>
      </c>
      <c r="H12" s="2">
        <v>-78.231067999999993</v>
      </c>
      <c r="I12" s="2">
        <v>20</v>
      </c>
      <c r="J12" s="23">
        <f>ROUND(_xll.TerrainHeight_m(G12,H12,TerHandler,TerDirectory),0)</f>
        <v>230</v>
      </c>
      <c r="K12" s="23">
        <f>ROUND(_xll.RadioHorizon_Km(I12),3)</f>
        <v>15.965999999999999</v>
      </c>
      <c r="L12" s="23" t="str">
        <f>"Distance: " &amp; ROUND(_xll.DistKm(B12,C12,G12,H12),3) &amp; " Km"</f>
        <v>Distance: 104.891 Km</v>
      </c>
    </row>
    <row r="13" spans="1:12" x14ac:dyDescent="0.25">
      <c r="A13" s="5" t="s">
        <v>88</v>
      </c>
      <c r="B13" s="2">
        <v>39.566355999999999</v>
      </c>
      <c r="C13" s="2">
        <v>-77.013035000000002</v>
      </c>
      <c r="D13" s="2">
        <v>10</v>
      </c>
      <c r="E13" s="23">
        <f>ROUND(_xll.TerrainHeight_m(B13,C13,TerHandler,TerDirectory),0)</f>
        <v>215</v>
      </c>
      <c r="F13" s="23">
        <f>ROUND(_xll.RadioHorizon_Km(D13),3)</f>
        <v>11.289</v>
      </c>
      <c r="G13" s="2">
        <v>39.634782999999999</v>
      </c>
      <c r="H13" s="2">
        <v>-78.231067999999993</v>
      </c>
      <c r="I13" s="2">
        <v>20</v>
      </c>
      <c r="J13" s="23">
        <f>ROUND(_xll.TerrainHeight_m(G13,H13,TerHandler,TerDirectory),0)</f>
        <v>230</v>
      </c>
      <c r="K13" s="23">
        <f>ROUND(_xll.RadioHorizon_Km(I13),3)</f>
        <v>15.965999999999999</v>
      </c>
      <c r="L13" s="23" t="str">
        <f>"Bearing: " &amp; ROUND(_xll.Bearing(B13,C13,G13,H13),2) &amp; " Deg"</f>
        <v>Bearing: 274.54 Deg</v>
      </c>
    </row>
    <row r="14" spans="1:12" x14ac:dyDescent="0.25">
      <c r="A14" s="5" t="s">
        <v>88</v>
      </c>
      <c r="B14" s="2">
        <v>39.634782999999999</v>
      </c>
      <c r="C14" s="2">
        <v>-78.231067999999993</v>
      </c>
      <c r="D14" s="2">
        <v>20</v>
      </c>
      <c r="E14" s="23">
        <f>ROUND(_xll.TerrainHeight_m(B14,C14,TerHandler,TerDirectory),0)</f>
        <v>230</v>
      </c>
      <c r="F14" s="23">
        <f>ROUND(_xll.RadioHorizon_Km(D14),3)</f>
        <v>15.965999999999999</v>
      </c>
      <c r="G14" s="2">
        <v>39.566355999999999</v>
      </c>
      <c r="H14" s="2">
        <v>-77.013035000000002</v>
      </c>
      <c r="I14" s="2">
        <v>10</v>
      </c>
      <c r="J14" s="23">
        <f>ROUND(_xll.TerrainHeight_m(G14,H14,TerHandler,TerDirectory),0)</f>
        <v>215</v>
      </c>
      <c r="K14" s="23">
        <f>ROUND(_xll.RadioHorizon_Km(I14),3)</f>
        <v>11.289</v>
      </c>
      <c r="L14" s="23" t="str">
        <f>"Bearing: " &amp; ROUND(_xll.Bearing(B14,C14,G14,H14),2) &amp; " Deg"</f>
        <v>Bearing: 93.77 Deg</v>
      </c>
    </row>
    <row r="15" spans="1:12" x14ac:dyDescent="0.25">
      <c r="A15" s="5" t="s">
        <v>91</v>
      </c>
      <c r="B15" s="2">
        <v>39.566355999999999</v>
      </c>
      <c r="C15" s="2">
        <v>-77.013035000000002</v>
      </c>
      <c r="D15" s="2">
        <v>10</v>
      </c>
      <c r="E15" s="23">
        <f>ROUND(_xll.TerrainHeight_m(B15,C15,TerHandler,TerDirectory),0)</f>
        <v>215</v>
      </c>
      <c r="F15" s="23">
        <f>ROUND(_xll.RadioHorizon_Km(D15),3)</f>
        <v>11.289</v>
      </c>
      <c r="G15" s="2">
        <v>39.634782999999999</v>
      </c>
      <c r="H15" s="2">
        <v>-78.231067999999993</v>
      </c>
      <c r="I15" s="2">
        <v>20</v>
      </c>
      <c r="J15" s="23">
        <f>ROUND(_xll.TerrainHeight_m(G15,H15,TerHandler,TerDirectory),0)</f>
        <v>230</v>
      </c>
      <c r="K15" s="23">
        <f>ROUND(_xll.RadioHorizon_Km(I15),3)</f>
        <v>15.965999999999999</v>
      </c>
      <c r="L15" s="23" t="str">
        <f>"Is LOS: " &amp; _xll.IsLOS(B15,C15,G15,H15,D15,I15,0,TerDirectory)</f>
        <v>Is LOS: FALSE</v>
      </c>
    </row>
    <row r="16" spans="1:12" x14ac:dyDescent="0.25">
      <c r="A16" s="5" t="s">
        <v>93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3" t="str">
        <f>"Delta Bearing: " &amp;ROUND( _xll.Delta_Bearing(_xll.Bearing(B13,C13,G13,H13), _xll.Bearing(B14,C14,G14,H14)),2) &amp; " Deg"</f>
        <v>Delta Bearing: 179.22 Deg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7"/>
  <sheetViews>
    <sheetView tabSelected="1" workbookViewId="0">
      <selection sqref="A1:D1"/>
    </sheetView>
  </sheetViews>
  <sheetFormatPr defaultRowHeight="15" x14ac:dyDescent="0.25"/>
  <cols>
    <col min="1" max="1" width="10.140625" customWidth="1"/>
    <col min="2" max="2" width="61.85546875" customWidth="1"/>
  </cols>
  <sheetData>
    <row r="1" spans="1:4" x14ac:dyDescent="0.25">
      <c r="A1" s="47" t="s">
        <v>204</v>
      </c>
      <c r="B1" s="47"/>
      <c r="C1" s="47"/>
      <c r="D1" s="47"/>
    </row>
    <row r="2" spans="1:4" x14ac:dyDescent="0.25">
      <c r="A2" s="18" t="s">
        <v>124</v>
      </c>
      <c r="B2" s="2">
        <v>456.07499999999999</v>
      </c>
      <c r="C2" s="2">
        <v>456.57499999999999</v>
      </c>
      <c r="D2" s="2">
        <v>456.1</v>
      </c>
    </row>
    <row r="3" spans="1:4" x14ac:dyDescent="0.25">
      <c r="A3" s="18" t="s">
        <v>125</v>
      </c>
      <c r="B3" s="2">
        <v>461.55</v>
      </c>
      <c r="C3" s="2">
        <v>456.1</v>
      </c>
    </row>
    <row r="4" spans="1:4" x14ac:dyDescent="0.25">
      <c r="A4" s="18" t="s">
        <v>200</v>
      </c>
      <c r="B4" s="2">
        <v>0.1</v>
      </c>
      <c r="C4" s="2">
        <v>0.1</v>
      </c>
    </row>
    <row r="6" spans="1:4" ht="37.9" customHeight="1" x14ac:dyDescent="0.25">
      <c r="A6" s="10" t="s">
        <v>203</v>
      </c>
      <c r="B6" s="26" t="str">
        <f>_xll.IntermodHarmonics(B2:D2,B3:C3,B4:C4)</f>
        <v xml:space="preserve"> Harmonic Found---&gt;    1 (456.075) = 456.1 ± 0.1 MHz bandwidth_x000D_
 Harmonic Found---&gt;    1 (456.1) = 456.1 ± 0.1 MHz bandwidth</v>
      </c>
    </row>
    <row r="7" spans="1:4" ht="79.900000000000006" customHeight="1" x14ac:dyDescent="0.25">
      <c r="A7" s="10" t="s">
        <v>201</v>
      </c>
      <c r="B7" s="26" t="str">
        <f>_xll.IntermodTwoSignalMix(B2:D2,B3:C3,B4:C4,3)</f>
        <v xml:space="preserve"> INTERMOD---&gt;   2 (456.075) - 1 (456.1) = 456.1 ± 0.1 MHz bandwidth_x000D_
 INTERMOD---&gt;   3 (456.075) - 2 (456.1) = 456.1 ± 0.1 MHz bandwidth_x000D_
 INTERMOD---&gt;   2 (456.1) - 1 (456.075) = 456.1 ± 0.1 MHz bandwidth_x000D_
 INTERMOD---&gt;   3 (456.1) - 2 (456.075) = 456.1 ± 0.1 MHz bandwidth_x000D_
 INTERMOD---&gt;   4 (456.1) - 3 (456.075) = 456.1 ± 0.1 MHz bandwidth</v>
      </c>
    </row>
    <row r="8" spans="1:4" ht="81.599999999999994" customHeight="1" x14ac:dyDescent="0.25">
      <c r="A8" s="10" t="s">
        <v>202</v>
      </c>
      <c r="B8" s="26" t="str">
        <f>_xll.IntermodThreeSignalMix(B2:D2,B3:C3,B4:C4,3)</f>
        <v/>
      </c>
    </row>
    <row r="10" spans="1:4" x14ac:dyDescent="0.25">
      <c r="A10" s="53" t="s">
        <v>265</v>
      </c>
    </row>
    <row r="11" spans="1:4" x14ac:dyDescent="0.25">
      <c r="A11" s="53" t="s">
        <v>263</v>
      </c>
    </row>
    <row r="12" spans="1:4" x14ac:dyDescent="0.25">
      <c r="A12" s="54" t="s">
        <v>264</v>
      </c>
    </row>
    <row r="13" spans="1:4" x14ac:dyDescent="0.25">
      <c r="A13" s="54"/>
    </row>
    <row r="14" spans="1:4" x14ac:dyDescent="0.25">
      <c r="A14" s="55" t="s">
        <v>266</v>
      </c>
    </row>
    <row r="15" spans="1:4" x14ac:dyDescent="0.25">
      <c r="A15" t="s">
        <v>269</v>
      </c>
    </row>
    <row r="16" spans="1:4" x14ac:dyDescent="0.25">
      <c r="A16" t="s">
        <v>267</v>
      </c>
    </row>
    <row r="17" spans="1:1" x14ac:dyDescent="0.25">
      <c r="A17" t="s">
        <v>268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68178ef-2b90-40ee-86de-4595a529cba9}" enabled="1" method="Standard" siteId="{d6cff1bd-67dd-4ce8-945d-d07dc775672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Propagation</vt:lpstr>
      <vt:lpstr>LMS</vt:lpstr>
      <vt:lpstr>MSAM Example</vt:lpstr>
      <vt:lpstr>Antenna</vt:lpstr>
      <vt:lpstr>Conversion Functions</vt:lpstr>
      <vt:lpstr>Geographic</vt:lpstr>
      <vt:lpstr>Intermod</vt:lpstr>
      <vt:lpstr>TerDirectory</vt:lpstr>
      <vt:lpstr>TerHandler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A. Najmy, Jr.</dc:creator>
  <cp:lastModifiedBy>Najmy, Fred Jr.</cp:lastModifiedBy>
  <cp:lastPrinted>2022-04-13T15:21:54Z</cp:lastPrinted>
  <dcterms:created xsi:type="dcterms:W3CDTF">2021-08-16T19:43:15Z</dcterms:created>
  <dcterms:modified xsi:type="dcterms:W3CDTF">2026-02-23T13:21:32Z</dcterms:modified>
</cp:coreProperties>
</file>